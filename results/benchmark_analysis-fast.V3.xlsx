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12"/>
  <workbookPr/>
  <mc:AlternateContent xmlns:mc="http://schemas.openxmlformats.org/markup-compatibility/2006">
    <mc:Choice Requires="x15">
      <x15ac:absPath xmlns:x15ac="http://schemas.microsoft.com/office/spreadsheetml/2010/11/ac" url="https://unioviedo-my.sharepoint.com/personal/puente_uniovi_es/Documents/imasd/tesis 2019/tesis Pablo Barredo/2022-23/NACO-2023/experimentación/"/>
    </mc:Choice>
  </mc:AlternateContent>
  <xr:revisionPtr revIDLastSave="29" documentId="13_ncr:1_{8F3EE5B1-4362-4184-AA01-5D50F7D463CA}" xr6:coauthVersionLast="47" xr6:coauthVersionMax="47" xr10:uidLastSave="{D7DCD5CD-A678-44CF-986F-90CEB9404F22}"/>
  <bookViews>
    <workbookView xWindow="-120" yWindow="-120" windowWidth="38640" windowHeight="21120" firstSheet="1" activeTab="1" xr2:uid="{00000000-000D-0000-FFFF-FFFF00000000}"/>
  </bookViews>
  <sheets>
    <sheet name="Instances" sheetId="4" r:id="rId1"/>
    <sheet name="Data" sheetId="2" r:id="rId2"/>
    <sheet name="Accuracy" sheetId="16" r:id="rId3"/>
    <sheet name="Makespan MPE" sheetId="17" r:id="rId4"/>
  </sheets>
  <calcPr calcId="191028"/>
  <pivotCaches>
    <pivotCache cacheId="430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16" l="1"/>
  <c r="T40" i="16"/>
  <c r="S40" i="16"/>
  <c r="R40" i="16"/>
  <c r="Q40" i="16"/>
  <c r="P40" i="16"/>
  <c r="O40" i="16"/>
  <c r="N40" i="16"/>
  <c r="M40" i="16"/>
  <c r="L40" i="16"/>
  <c r="U34" i="16"/>
  <c r="T34" i="16"/>
  <c r="S34" i="16"/>
  <c r="R34" i="16"/>
  <c r="Q34" i="16"/>
  <c r="P34" i="16"/>
  <c r="O34" i="16"/>
  <c r="N34" i="16"/>
  <c r="M34" i="16"/>
  <c r="L34" i="16"/>
  <c r="U28" i="16"/>
  <c r="T28" i="16"/>
  <c r="S28" i="16"/>
  <c r="R28" i="16"/>
  <c r="Q28" i="16"/>
  <c r="P28" i="16"/>
  <c r="O28" i="16"/>
  <c r="N28" i="16"/>
  <c r="M28" i="16"/>
  <c r="L28" i="16"/>
  <c r="U22" i="16"/>
  <c r="T22" i="16"/>
  <c r="S22" i="16"/>
  <c r="R22" i="16"/>
  <c r="Q22" i="16"/>
  <c r="P22" i="16"/>
  <c r="O22" i="16"/>
  <c r="N22" i="16"/>
  <c r="M22" i="16"/>
  <c r="L22" i="16"/>
  <c r="U16" i="16"/>
  <c r="T16" i="16"/>
  <c r="S16" i="16"/>
  <c r="R16" i="16"/>
  <c r="Q16" i="16"/>
  <c r="P16" i="16"/>
  <c r="O16" i="16"/>
  <c r="N16" i="16"/>
  <c r="M16" i="16"/>
  <c r="L16" i="16"/>
  <c r="U10" i="16"/>
  <c r="T10" i="16"/>
  <c r="S10" i="16"/>
  <c r="R10" i="16"/>
  <c r="Q10" i="16"/>
  <c r="P10" i="16"/>
  <c r="O10" i="16"/>
  <c r="N10" i="16"/>
  <c r="M10" i="16"/>
  <c r="L10" i="16"/>
  <c r="P4" i="16"/>
  <c r="Q4" i="16"/>
  <c r="R4" i="16"/>
  <c r="S4" i="16"/>
  <c r="T4" i="16"/>
  <c r="U4" i="16"/>
  <c r="N4" i="16"/>
  <c r="L4" i="16"/>
  <c r="M4" i="16"/>
  <c r="O4" i="16"/>
  <c r="O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AM3" i="2" l="1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2" i="2"/>
  <c r="AG2" i="2"/>
  <c r="AH2" i="2"/>
  <c r="AI2" i="2"/>
  <c r="AJ2" i="2"/>
  <c r="AK2" i="2"/>
  <c r="AL2" i="2"/>
  <c r="AM2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U143" i="2" l="1"/>
  <c r="W143" i="2"/>
  <c r="V143" i="2"/>
  <c r="T142" i="2"/>
  <c r="U142" i="2"/>
  <c r="V142" i="2"/>
  <c r="W142" i="2"/>
  <c r="T143" i="2"/>
  <c r="X142" i="2" l="1"/>
  <c r="X143" i="2"/>
</calcChain>
</file>

<file path=xl/sharedStrings.xml><?xml version="1.0" encoding="utf-8"?>
<sst xmlns="http://schemas.openxmlformats.org/spreadsheetml/2006/main" count="253" uniqueCount="88">
  <si>
    <t>Tasks</t>
  </si>
  <si>
    <t>Name</t>
  </si>
  <si>
    <t>1000genome-chameleon-12ch-250k-001</t>
  </si>
  <si>
    <t>1000genome-chameleon-18ch-250k-001</t>
  </si>
  <si>
    <t>1000genome-chameleon-2ch-250k-001</t>
  </si>
  <si>
    <t>1000genome-chameleon-4ch-250k-001</t>
  </si>
  <si>
    <t>cycles-chameleon-1l-1c-9p-001</t>
  </si>
  <si>
    <t>cycles-chameleon-2l-1c-12p-001</t>
  </si>
  <si>
    <t>cycles-chameleon-2l-1c-9p-001</t>
  </si>
  <si>
    <t>cycles-chameleon-5l-1c-12p-001</t>
  </si>
  <si>
    <t>epigenomics-chameleon-hep-1seq-100k-001</t>
  </si>
  <si>
    <t>epigenomics-chameleon-ilmn-1seq-100k-001</t>
  </si>
  <si>
    <t>epigenomics-chameleon-hep-6seq-100k-001</t>
  </si>
  <si>
    <t>epigenomics-chameleon-ilmn-6seq-100k-001</t>
  </si>
  <si>
    <t>montage-chameleon-2mass-005d-001</t>
  </si>
  <si>
    <t>montage-chameleon-2mass-01d-001</t>
  </si>
  <si>
    <t>montage-chameleon-dss-10d-001</t>
  </si>
  <si>
    <t>montage-chameleon-dss-125d-001</t>
  </si>
  <si>
    <t>seismology-chameleon-100p-001</t>
  </si>
  <si>
    <t>seismology-chameleon-500p-001</t>
  </si>
  <si>
    <t>seismology-chameleon-700p-001</t>
  </si>
  <si>
    <t>seismology-chameleon-1000p-001</t>
  </si>
  <si>
    <t>soykb-chameleon-10fastq-10ch-001</t>
  </si>
  <si>
    <t>soykb-chameleon-10fastq-20ch-001</t>
  </si>
  <si>
    <t>soykb-chameleon-30fastq-10ch-001</t>
  </si>
  <si>
    <t>soykb-chameleon-40fastq-20ch-001</t>
  </si>
  <si>
    <t>srasearch-chameleon-10a-005</t>
  </si>
  <si>
    <t>srasearch-chameleon-20a-003</t>
  </si>
  <si>
    <t>srasearch-chameleon-40a-003</t>
  </si>
  <si>
    <t>srasearch-chameleon-50a-003</t>
  </si>
  <si>
    <t>Problem</t>
  </si>
  <si>
    <t>Benchmark</t>
  </si>
  <si>
    <t>Hosts</t>
  </si>
  <si>
    <t>Real HEFT_NC</t>
  </si>
  <si>
    <t>Real HEFT_DNC</t>
  </si>
  <si>
    <t>Real GA_NC</t>
  </si>
  <si>
    <t>Real GA_DNC</t>
  </si>
  <si>
    <t>Real HGA_(Ph2)</t>
  </si>
  <si>
    <t>Real HGA_(Ph1)</t>
  </si>
  <si>
    <t>Real GA^H</t>
  </si>
  <si>
    <t>Real HGA_(Ph2)^H</t>
  </si>
  <si>
    <t>Real HGA_(Ph1)^H</t>
  </si>
  <si>
    <t>HEFT_DNC vs HEFT_NC</t>
  </si>
  <si>
    <t>GA_NC vs HEFT_NC</t>
  </si>
  <si>
    <t>GA_DNC vs HEFT_NC</t>
  </si>
  <si>
    <t>HGA_(Ph2) vs HEFT_NC</t>
  </si>
  <si>
    <t>HGA_(Ph1) vs HEFT_NC</t>
  </si>
  <si>
    <t>GA^H vs HEDT_NC</t>
  </si>
  <si>
    <t>HGA_(Ph2)^H vs HEFT_NC</t>
  </si>
  <si>
    <t>HGA_(Ph1)^H vs HEFT_NC</t>
  </si>
  <si>
    <t>Calculated HEFT_NC</t>
  </si>
  <si>
    <t>Calculated HEFT_DNC</t>
  </si>
  <si>
    <t>Calculated GA_NC</t>
  </si>
  <si>
    <t>Calculated GA_DNC</t>
  </si>
  <si>
    <t>Calculated HGA_(Ph2)</t>
  </si>
  <si>
    <t>Calculated HGA_(Ph1)</t>
  </si>
  <si>
    <t>Calculated HGA^H</t>
  </si>
  <si>
    <t>Calculated HGA_(Ph2)^H</t>
  </si>
  <si>
    <t>Calculated HGA_(Ph1)^H</t>
  </si>
  <si>
    <t>accuracy HEFT_NC</t>
  </si>
  <si>
    <t>accuracy HEFT_DNC</t>
  </si>
  <si>
    <t>accuracy GA_NC</t>
  </si>
  <si>
    <t>accuracy GA_DNC</t>
  </si>
  <si>
    <t>accuracy HGA_(Ph2)</t>
  </si>
  <si>
    <t>accuracy HGA_(Ph1)</t>
  </si>
  <si>
    <t>accuracy HGA^H</t>
  </si>
  <si>
    <t>accuracy HGA_(Ph2)^H</t>
  </si>
  <si>
    <t>accuracy HGA_(Ph1)^H</t>
  </si>
  <si>
    <t>Global Accuracy (the worst of all Xhosts configurations)</t>
  </si>
  <si>
    <t>Etiquetas de fila</t>
  </si>
  <si>
    <t>HEFT_NC</t>
  </si>
  <si>
    <t>HEFT_DNC</t>
  </si>
  <si>
    <t>GA_NC</t>
  </si>
  <si>
    <t>GA_DNC</t>
  </si>
  <si>
    <t>HGA_(Ph1)</t>
  </si>
  <si>
    <t>HGA_(Ph2)</t>
  </si>
  <si>
    <t>HGA^H</t>
  </si>
  <si>
    <t>HGA_(Ph1)^H</t>
  </si>
  <si>
    <t>HGA_(Ph2)^H</t>
  </si>
  <si>
    <t>seismology</t>
  </si>
  <si>
    <t>cycles</t>
  </si>
  <si>
    <t>epigenomics</t>
  </si>
  <si>
    <t>srasearch</t>
  </si>
  <si>
    <t>montage</t>
  </si>
  <si>
    <t>soykb</t>
  </si>
  <si>
    <t>1000genome</t>
  </si>
  <si>
    <t>Total general</t>
  </si>
  <si>
    <t>GA^H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</si>
</sst>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1" applyNumberFormat="1" applyFon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4" fillId="0" borderId="0" xfId="1" applyNumberFormat="1" applyFont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vertical="top" wrapText="1"/>
    </xf>
    <xf numFmtId="0" fontId="5" fillId="0" borderId="0" xfId="0" applyFont="1"/>
    <xf numFmtId="164" fontId="0" fillId="0" borderId="0" xfId="0" applyNumberFormat="1"/>
    <xf numFmtId="0" fontId="5" fillId="2" borderId="2" xfId="0" applyFont="1" applyFill="1" applyBorder="1"/>
    <xf numFmtId="2" fontId="0" fillId="0" borderId="0" xfId="0" applyNumberFormat="1" applyAlignment="1">
      <alignment horizontal="left" indent="1"/>
    </xf>
  </cellXfs>
  <cellStyles count="2">
    <cellStyle name="Normal" xfId="0" builtinId="0"/>
    <cellStyle name="Porcentaje" xfId="1" builtinId="5"/>
  </cellStyles>
  <dxfs count="77"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1262902</xdr:colOff>
      <xdr:row>13</xdr:row>
      <xdr:rowOff>63873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4048FBB-5237-D7BD-6AA0-C7BB13876ECC}"/>
            </a:ext>
          </a:extLst>
        </xdr:cNvPr>
        <xdr:cNvSpPr txBox="1"/>
      </xdr:nvSpPr>
      <xdr:spPr>
        <a:xfrm>
          <a:off x="9958667" y="360493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blo Barredo" refreshedDate="44997.840106365744" createdVersion="8" refreshedVersion="8" minRefreshableVersion="3" recordCount="140" xr:uid="{24382B61-4326-40BC-B349-54F953944CAA}">
  <cacheSource type="worksheet">
    <worksheetSource name="Tabla13"/>
  </cacheSource>
  <cacheFields count="40">
    <cacheField name="Problem" numFmtId="10">
      <sharedItems count="7">
        <s v="1000genome"/>
        <s v="cycles"/>
        <s v="epigenomics"/>
        <s v="montage"/>
        <s v="seismology"/>
        <s v="soykb"/>
        <s v="srasearch"/>
      </sharedItems>
    </cacheField>
    <cacheField name="Benchmark" numFmtId="0">
      <sharedItems count="28">
        <s v="1000genome-chameleon-12ch-250k-001"/>
        <s v="1000genome-chameleon-18ch-250k-001"/>
        <s v="1000genome-chameleon-2ch-250k-001"/>
        <s v="1000genome-chameleon-4ch-250k-001"/>
        <s v="cycles-chameleon-1l-1c-9p-001"/>
        <s v="cycles-chameleon-2l-1c-12p-001"/>
        <s v="cycles-chameleon-2l-1c-9p-001"/>
        <s v="cycles-chameleon-5l-1c-12p-001"/>
        <s v="epigenomics-chameleon-hep-1seq-100k-001"/>
        <s v="epigenomics-chameleon-hep-6seq-100k-001"/>
        <s v="epigenomics-chameleon-ilmn-1seq-100k-001"/>
        <s v="epigenomics-chameleon-ilmn-6seq-100k-001"/>
        <s v="montage-chameleon-2mass-005d-001"/>
        <s v="montage-chameleon-2mass-01d-001"/>
        <s v="montage-chameleon-dss-10d-001"/>
        <s v="montage-chameleon-dss-125d-001"/>
        <s v="seismology-chameleon-1000p-001"/>
        <s v="seismology-chameleon-100p-001"/>
        <s v="seismology-chameleon-500p-001"/>
        <s v="seismology-chameleon-700p-001"/>
        <s v="soykb-chameleon-10fastq-10ch-001"/>
        <s v="soykb-chameleon-10fastq-20ch-001"/>
        <s v="soykb-chameleon-30fastq-10ch-001"/>
        <s v="soykb-chameleon-40fastq-20ch-001"/>
        <s v="srasearch-chameleon-10a-005"/>
        <s v="srasearch-chameleon-20a-003"/>
        <s v="srasearch-chameleon-40a-003"/>
        <s v="srasearch-chameleon-50a-003"/>
      </sharedItems>
    </cacheField>
    <cacheField name="Tasks" numFmtId="0">
      <sharedItems containsSemiMixedTypes="0" containsString="0" containsNumber="1" containsInteger="1" minValue="22" maxValue="1091" count="28">
        <n v="492"/>
        <n v="738"/>
        <n v="82"/>
        <n v="164"/>
        <n v="67"/>
        <n v="437"/>
        <n v="133"/>
        <n v="1091"/>
        <n v="41"/>
        <n v="507"/>
        <n v="125"/>
        <n v="863"/>
        <n v="58"/>
        <n v="103"/>
        <n v="472"/>
        <n v="1066"/>
        <n v="1001"/>
        <n v="101"/>
        <n v="501"/>
        <n v="701"/>
        <n v="96"/>
        <n v="156"/>
        <n v="256"/>
        <n v="546"/>
        <n v="22"/>
        <n v="42"/>
        <n v="84"/>
        <n v="104"/>
      </sharedItems>
    </cacheField>
    <cacheField name="Hosts" numFmtId="0">
      <sharedItems containsSemiMixedTypes="0" containsString="0" containsNumber="1" containsInteger="1" minValue="1" maxValue="16" count="5">
        <n v="1"/>
        <n v="2"/>
        <n v="4"/>
        <n v="8"/>
        <n v="16"/>
      </sharedItems>
    </cacheField>
    <cacheField name="Real HEFT_NC" numFmtId="0">
      <sharedItems containsSemiMixedTypes="0" containsString="0" containsNumber="1" minValue="4.6395099999999996" maxValue="103597"/>
    </cacheField>
    <cacheField name="Real HEFT_DNC" numFmtId="0">
      <sharedItems containsSemiMixedTypes="0" containsString="0" containsNumber="1" minValue="4.6395199999999992" maxValue="103597"/>
    </cacheField>
    <cacheField name="Real GA_NC" numFmtId="0">
      <sharedItems containsSemiMixedTypes="0" containsString="0" containsNumber="1" minValue="4.7650769999999998" maxValue="103597"/>
    </cacheField>
    <cacheField name="Real GA_DNC" numFmtId="0">
      <sharedItems containsSemiMixedTypes="0" containsString="0" containsNumber="1" minValue="4.7559469999999999" maxValue="103597"/>
    </cacheField>
    <cacheField name="Real HGA_(Ph2)" numFmtId="0">
      <sharedItems containsSemiMixedTypes="0" containsString="0" containsNumber="1" minValue="4.6249880000000001" maxValue="103597"/>
    </cacheField>
    <cacheField name="Real HGA_(Ph1)" numFmtId="0">
      <sharedItems containsSemiMixedTypes="0" containsString="0" containsNumber="1" minValue="4.8573199999999996" maxValue="103597"/>
    </cacheField>
    <cacheField name="Real GA^H" numFmtId="0">
      <sharedItems containsSemiMixedTypes="0" containsString="0" containsNumber="1" minValue="4.6381300000000012" maxValue="103597"/>
    </cacheField>
    <cacheField name="Real HGA_(Ph2)^H" numFmtId="0">
      <sharedItems containsSemiMixedTypes="0" containsString="0" containsNumber="1" minValue="4.5930780000000002" maxValue="103597"/>
    </cacheField>
    <cacheField name="Real HGA_(Ph1)^H" numFmtId="0">
      <sharedItems containsSemiMixedTypes="0" containsString="0" containsNumber="1" minValue="4.6395199999999992" maxValue="103597"/>
    </cacheField>
    <cacheField name="HEFT_DNC vs HEFT_NC" numFmtId="10">
      <sharedItems containsSemiMixedTypes="0" containsString="0" containsNumber="1" minValue="-5.2616282999232234E-3" maxValue="0.13526701412493386"/>
    </cacheField>
    <cacheField name="GA_NC vs HEFT_NC" numFmtId="10">
      <sharedItems containsSemiMixedTypes="0" containsString="0" containsNumber="1" minValue="-0.31722139267536875" maxValue="7.8656091849837559E-2"/>
    </cacheField>
    <cacheField name="GA_DNC vs HEFT_NC" numFmtId="10">
      <sharedItems containsSemiMixedTypes="0" containsString="0" containsNumber="1" minValue="-0.32098546152240565" maxValue="8.3495732306065384E-2"/>
    </cacheField>
    <cacheField name="HGA_(Ph2) vs HEFT_NC" numFmtId="10">
      <sharedItems containsSemiMixedTypes="0" containsString="0" containsNumber="1" minValue="-0.23857131962172656" maxValue="0.26064488224567101"/>
    </cacheField>
    <cacheField name="HGA_(Ph1) vs HEFT_NC" numFmtId="10">
      <sharedItems containsSemiMixedTypes="0" containsString="0" containsNumber="1" minValue="-0.67766738689684392" maxValue="0.1013230606541279"/>
    </cacheField>
    <cacheField name="GA^H vs HEDT_NC" numFmtId="10">
      <sharedItems containsSemiMixedTypes="0" containsString="0" containsNumber="1" minValue="-9.2803721269609472E-3" maxValue="0.15622056046529165"/>
    </cacheField>
    <cacheField name="HGA_(Ph2)^H vs HEFT_NC" numFmtId="10">
      <sharedItems containsSemiMixedTypes="0" containsString="0" containsNumber="1" minValue="-7.642283838015366E-3" maxValue="0.25870914446920951"/>
    </cacheField>
    <cacheField name="HGA_(Ph1)^H vs HEFT_NC" numFmtId="10">
      <sharedItems containsSemiMixedTypes="0" containsString="0" containsNumber="1" minValue="-1.2478993217219601E-2" maxValue="0.13526701412493386"/>
    </cacheField>
    <cacheField name="Columna1" numFmtId="0">
      <sharedItems containsNonDate="0" containsString="0" containsBlank="1"/>
    </cacheField>
    <cacheField name="Calculated HEFT_NC" numFmtId="0">
      <sharedItems containsSemiMixedTypes="0" containsString="0" containsNumber="1" minValue="4.62704" maxValue="91650.6"/>
    </cacheField>
    <cacheField name="Calculated HEFT_DNC" numFmtId="0">
      <sharedItems containsSemiMixedTypes="0" containsString="0" containsNumber="1" minValue="4.6337999999999999" maxValue="103596"/>
    </cacheField>
    <cacheField name="Calculated GA_NC" numFmtId="0">
      <sharedItems containsSemiMixedTypes="0" containsString="0" containsNumber="1" minValue="4.7527290000000004" maxValue="91650.6"/>
    </cacheField>
    <cacheField name="Calculated GA_DNC" numFmtId="0">
      <sharedItems containsSemiMixedTypes="0" containsString="0" containsNumber="1" minValue="4.7502030000000008" maxValue="103596"/>
    </cacheField>
    <cacheField name="Calculated HGA_(Ph2)" numFmtId="0">
      <sharedItems containsSemiMixedTypes="0" containsString="0" containsNumber="1" minValue="4.6190920000000002" maxValue="103596"/>
    </cacheField>
    <cacheField name="Calculated HGA_(Ph1)" numFmtId="0">
      <sharedItems containsSemiMixedTypes="0" containsString="0" containsNumber="1" minValue="4.8514720000000002" maxValue="103596"/>
    </cacheField>
    <cacheField name="Calculated HGA^H" numFmtId="0">
      <sharedItems containsSemiMixedTypes="0" containsString="0" containsNumber="1" minValue="4.6323960000000008" maxValue="103596"/>
    </cacheField>
    <cacheField name="Calculated HGA_(Ph2)^H" numFmtId="0">
      <sharedItems containsSemiMixedTypes="0" containsString="0" containsNumber="1" minValue="4.5872459999999986" maxValue="103596"/>
    </cacheField>
    <cacheField name="Calculated HGA_(Ph1)^H" numFmtId="0">
      <sharedItems containsSemiMixedTypes="0" containsString="0" containsNumber="1" minValue="4.6337999999999999" maxValue="103596"/>
    </cacheField>
    <cacheField name="accuracy HEFT_NC" numFmtId="10">
      <sharedItems containsSemiMixedTypes="0" containsString="0" containsNumber="1" minValue="0.74618022509252968" maxValue="0.99973022733214278"/>
    </cacheField>
    <cacheField name="accuracy HEFT_DNC" numFmtId="10">
      <sharedItems containsSemiMixedTypes="0" containsString="0" containsNumber="1" minValue="0.91454377107318163" maxValue="1"/>
    </cacheField>
    <cacheField name="accuracy GA_NC" numFmtId="10">
      <sharedItems containsSemiMixedTypes="0" containsString="0" containsNumber="1" minValue="0.7899648461309482" maxValue="0.99973022733214278"/>
    </cacheField>
    <cacheField name="accuracy GA_DNC" numFmtId="10">
      <sharedItems containsSemiMixedTypes="0" containsString="0" containsNumber="1" minValue="0.94284757526204455" maxValue="1"/>
    </cacheField>
    <cacheField name="accuracy HGA_(Ph2)" numFmtId="10">
      <sharedItems containsSemiMixedTypes="0" containsString="0" containsNumber="1" minValue="0.92405266638787198" maxValue="1"/>
    </cacheField>
    <cacheField name="accuracy HGA_(Ph1)" numFmtId="10">
      <sharedItems containsSemiMixedTypes="0" containsString="0" containsNumber="1" minValue="0.93071803485480742" maxValue="1"/>
    </cacheField>
    <cacheField name="accuracy HGA^H" numFmtId="10">
      <sharedItems containsSemiMixedTypes="0" containsString="0" containsNumber="1" minValue="0.92481956609230542" maxValue="1"/>
    </cacheField>
    <cacheField name="accuracy HGA_(Ph2)^H" numFmtId="10">
      <sharedItems containsSemiMixedTypes="0" containsString="0" containsNumber="1" minValue="0.9116422351172454" maxValue="1"/>
    </cacheField>
    <cacheField name="accuracy HGA_(Ph1)^H" numFmtId="10">
      <sharedItems containsSemiMixedTypes="0" containsString="0" containsNumber="1" minValue="0.91454377107318163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x v="0"/>
    <x v="0"/>
    <x v="0"/>
    <n v="34863.400000000009"/>
    <n v="34863.400000000009"/>
    <n v="34863.400000000009"/>
    <n v="34863.400000000009"/>
    <n v="34863.400000000009"/>
    <n v="34863.400000000009"/>
    <n v="34863.400000000009"/>
    <n v="34863.400000000009"/>
    <n v="34863.400000000009"/>
    <n v="0"/>
    <n v="0"/>
    <n v="0"/>
    <n v="0"/>
    <n v="0"/>
    <n v="0"/>
    <n v="0"/>
    <n v="0"/>
    <m/>
    <n v="28130.2"/>
    <n v="34863.300000000003"/>
    <n v="28130.2"/>
    <n v="34863.300000000003"/>
    <n v="34863.300000000003"/>
    <n v="34863.300000000003"/>
    <n v="34863.300000000003"/>
    <n v="34863.300000000003"/>
    <n v="34863.300000000003"/>
    <n v="0.80686909481002977"/>
    <n v="0.99999713166243087"/>
    <n v="0.80686909481002977"/>
    <n v="0.99999713166243087"/>
    <n v="0.99999713166243087"/>
    <n v="0.99999713166243087"/>
    <n v="0.99999713166243087"/>
    <n v="0.99999713166243087"/>
    <n v="0.99999713166243087"/>
  </r>
  <r>
    <x v="0"/>
    <x v="0"/>
    <x v="0"/>
    <x v="1"/>
    <n v="17473"/>
    <n v="17432.2"/>
    <n v="17457.490000000002"/>
    <n v="17432.18"/>
    <n v="17432.170000000009"/>
    <n v="17432.16"/>
    <n v="17432.14"/>
    <n v="17432.189999999999"/>
    <n v="17432.099999999999"/>
    <n v="2.3350311909803279E-3"/>
    <n v="8.8765523951229888E-4"/>
    <n v="2.3361758141131864E-3"/>
    <n v="2.3367481256790952E-3"/>
    <n v="2.3373204372460449E-3"/>
    <n v="2.3384650603789038E-3"/>
    <n v="2.3356035025468612E-3"/>
    <n v="2.3407543066446207E-3"/>
    <m/>
    <n v="14065.5"/>
    <n v="17431.7"/>
    <n v="14065.1"/>
    <n v="17431.599999999999"/>
    <n v="17431.599999999999"/>
    <n v="17431.669999999998"/>
    <n v="17431.599999999999"/>
    <n v="17431.599999999999"/>
    <n v="17431.599999999999"/>
    <n v="0.80498483374348995"/>
    <n v="0.99997131744702328"/>
    <n v="0.80567710478425014"/>
    <n v="0.99996672820037413"/>
    <n v="0.99996730183333393"/>
    <n v="0.99997189103358386"/>
    <n v="0.99996902273616428"/>
    <n v="0.99996615456807203"/>
    <n v="0.99997131728248456"/>
  </r>
  <r>
    <x v="0"/>
    <x v="0"/>
    <x v="0"/>
    <x v="2"/>
    <n v="8754.369999999999"/>
    <n v="8717.58"/>
    <n v="8768.226999999999"/>
    <n v="8718.2870000000003"/>
    <n v="8716.3049999999985"/>
    <n v="8738.56"/>
    <n v="8716.5490000000009"/>
    <n v="8716.1829999999991"/>
    <n v="8717.1059999999998"/>
    <n v="4.2024725936873879E-3"/>
    <n v="-1.5828666140453251E-3"/>
    <n v="4.1217129273721266E-3"/>
    <n v="4.3481141418514994E-3"/>
    <n v="1.8059551972328669E-3"/>
    <n v="4.3202423475359273E-3"/>
    <n v="4.3620500390090782E-3"/>
    <n v="4.2566169810048264E-3"/>
    <m/>
    <n v="7033.69"/>
    <n v="8717.19"/>
    <n v="7034.8180000000011"/>
    <n v="8717.9220000000005"/>
    <n v="8715.9420000000009"/>
    <n v="8738.244999999999"/>
    <n v="8716.1960000000017"/>
    <n v="8715.8200000000015"/>
    <n v="8716.777"/>
    <n v="0.8034490203178527"/>
    <n v="0.99995526281376257"/>
    <n v="0.80230792382542127"/>
    <n v="0.99995813397746602"/>
    <n v="0.99995835391258137"/>
    <n v="0.99996395287095352"/>
    <n v="0.99995950232138897"/>
    <n v="0.9999583533296631"/>
    <n v="0.99996225811639783"/>
  </r>
  <r>
    <x v="0"/>
    <x v="0"/>
    <x v="0"/>
    <x v="3"/>
    <n v="4378.3999999999996"/>
    <n v="4360.29"/>
    <n v="4427.8549999999996"/>
    <n v="4370.4309999999996"/>
    <n v="4359.59"/>
    <n v="4461.2620000000006"/>
    <n v="4359.3060000000014"/>
    <n v="4358.1369999999997"/>
    <n v="4360.29"/>
    <n v="4.1362141421523099E-3"/>
    <n v="-1.1295221998903694E-2"/>
    <n v="1.8200712589073753E-3"/>
    <n v="4.2960898958522504E-3"/>
    <n v="-1.8925178147268636E-2"/>
    <n v="4.3609537730673843E-3"/>
    <n v="4.6279462817467388E-3"/>
    <n v="4.1362141421523099E-3"/>
    <m/>
    <n v="3517.61"/>
    <n v="4360.1200000000008"/>
    <n v="3537.069"/>
    <n v="4370.24"/>
    <n v="4359.3989999999994"/>
    <n v="4461.0549999999994"/>
    <n v="4359.13"/>
    <n v="4357.9189999999999"/>
    <n v="4360.1200000000008"/>
    <n v="0.80340078567513251"/>
    <n v="0.99996101176756613"/>
    <n v="0.79882222882185627"/>
    <n v="0.99995629721645307"/>
    <n v="0.99995618854066537"/>
    <n v="0.99995360057311111"/>
    <n v="0.9999596266011147"/>
    <n v="0.99994997862618828"/>
    <n v="0.99996101176756613"/>
  </r>
  <r>
    <x v="0"/>
    <x v="0"/>
    <x v="0"/>
    <x v="4"/>
    <n v="2207.79"/>
    <n v="2181.37"/>
    <n v="2275.2959999999998"/>
    <n v="2253.875"/>
    <n v="2184.944"/>
    <n v="2325.3629999999998"/>
    <n v="2181.1439999999998"/>
    <n v="2179.1329999999998"/>
    <n v="2181.37"/>
    <n v="1.1966717849070824E-2"/>
    <n v="-3.0576277635101099E-2"/>
    <n v="-2.0873814991462066E-2"/>
    <n v="1.0347904465551526E-2"/>
    <n v="-5.3253706194882608E-2"/>
    <n v="1.2069082657318035E-2"/>
    <n v="1.297994827406599E-2"/>
    <n v="1.1966717849070824E-2"/>
    <m/>
    <n v="1759.38"/>
    <n v="2181.25"/>
    <n v="1827.018"/>
    <n v="2253.7739999999999"/>
    <n v="2184.8470000000002"/>
    <n v="2325.2509999999988"/>
    <n v="2181.0320000000002"/>
    <n v="2179.009"/>
    <n v="2181.25"/>
    <n v="0.7968964439552676"/>
    <n v="0.99994498869976212"/>
    <n v="0.8029803594785031"/>
    <n v="0.99995518828683927"/>
    <n v="0.99995560526951732"/>
    <n v="0.99995183547686917"/>
    <n v="0.99994865079976392"/>
    <n v="0.99994309663522152"/>
    <n v="0.99994498869976212"/>
  </r>
  <r>
    <x v="0"/>
    <x v="1"/>
    <x v="1"/>
    <x v="0"/>
    <n v="52760"/>
    <n v="52760"/>
    <n v="52760"/>
    <n v="52760"/>
    <n v="52760"/>
    <n v="52760"/>
    <n v="52760"/>
    <n v="52760"/>
    <n v="52760"/>
    <n v="0"/>
    <n v="0"/>
    <n v="0"/>
    <n v="0"/>
    <n v="0"/>
    <n v="0"/>
    <n v="0"/>
    <n v="0"/>
    <m/>
    <n v="42669.2"/>
    <n v="52759.8"/>
    <n v="42669.2"/>
    <n v="52759.8"/>
    <n v="52759.8"/>
    <n v="52759.8"/>
    <n v="52759.8"/>
    <n v="52759.8"/>
    <n v="52759.8"/>
    <n v="0.80874147081122061"/>
    <n v="0.99999620924943144"/>
    <n v="0.80874147081122061"/>
    <n v="0.99999620924943144"/>
    <n v="0.99999620924943144"/>
    <n v="0.99999620924943144"/>
    <n v="0.99999620924943144"/>
    <n v="0.99999620924943144"/>
    <n v="0.99999620924943144"/>
  </r>
  <r>
    <x v="0"/>
    <x v="1"/>
    <x v="1"/>
    <x v="1"/>
    <n v="26446.2"/>
    <n v="26380.6"/>
    <n v="26419.38"/>
    <n v="26380.66"/>
    <n v="26380.65"/>
    <n v="26382.01"/>
    <n v="26380.62"/>
    <n v="26380.68"/>
    <n v="26380.560000000001"/>
    <n v="2.4805075965545968E-3"/>
    <n v="1.0141343557864536E-3"/>
    <n v="2.4782388396064792E-3"/>
    <n v="2.4786169657644301E-3"/>
    <n v="2.4271918082750007E-3"/>
    <n v="2.4797513442385579E-3"/>
    <n v="2.4774825872904398E-3"/>
    <n v="2.4820201011865376E-3"/>
    <m/>
    <n v="21334.6"/>
    <n v="26379.9"/>
    <n v="21334.6"/>
    <n v="26379.9"/>
    <n v="26379.9"/>
    <n v="26381.35"/>
    <n v="26379.9"/>
    <n v="26379.9"/>
    <n v="26379.9"/>
    <n v="0.80671703307091369"/>
    <n v="0.99997346534953724"/>
    <n v="0.8075359830548634"/>
    <n v="0.99997119101644927"/>
    <n v="0.99997157007124537"/>
    <n v="0.99997498295239828"/>
    <n v="0.99997270723735843"/>
    <n v="0.99997043290771892"/>
    <n v="0.99997498157734332"/>
  </r>
  <r>
    <x v="0"/>
    <x v="1"/>
    <x v="1"/>
    <x v="2"/>
    <n v="13274.9"/>
    <n v="13191.3"/>
    <n v="13253.43"/>
    <n v="13192.06"/>
    <n v="13190.82"/>
    <n v="13261.97"/>
    <n v="13190.76"/>
    <n v="13190.49"/>
    <n v="13190.85"/>
    <n v="6.2975992286194524E-3"/>
    <n v="1.6173379837135756E-3"/>
    <n v="6.2403483265410778E-3"/>
    <n v="6.333757693089961E-3"/>
    <n v="9.7401863667525115E-4"/>
    <n v="6.3382775011487412E-3"/>
    <n v="6.3586166374134537E-3"/>
    <n v="6.3314977890605029E-3"/>
    <m/>
    <n v="10667.3"/>
    <n v="13190.8"/>
    <n v="10669"/>
    <n v="13191.61"/>
    <n v="13190.32"/>
    <n v="13261.49"/>
    <n v="13190.26"/>
    <n v="13190"/>
    <n v="13190.33"/>
    <n v="0.80356914176377969"/>
    <n v="0.99996209623009102"/>
    <n v="0.80499915870834948"/>
    <n v="0.99996588857236857"/>
    <n v="0.99996209485081289"/>
    <n v="0.99996380628217385"/>
    <n v="0.99996209467839614"/>
    <n v="0.99996285202445101"/>
    <n v="0.9999605787345015"/>
  </r>
  <r>
    <x v="0"/>
    <x v="1"/>
    <x v="1"/>
    <x v="3"/>
    <n v="6634.25"/>
    <n v="6596.33"/>
    <n v="6676.9869999999992"/>
    <n v="6620.2240000000002"/>
    <n v="6598.8059999999996"/>
    <n v="6761.2160000000003"/>
    <n v="6596.2790000000005"/>
    <n v="6595.2920000000013"/>
    <n v="6596.33"/>
    <n v="5.7157930436748799E-3"/>
    <n v="-6.441873610430594E-3"/>
    <n v="2.1141802012284495E-3"/>
    <n v="5.3425782869202122E-3"/>
    <n v="-1.9137958322342441E-2"/>
    <n v="5.72348042355949E-3"/>
    <n v="5.8722538342689404E-3"/>
    <n v="5.7157930436748799E-3"/>
    <m/>
    <n v="5334.82"/>
    <n v="6596.0399999999991"/>
    <n v="5366.1799999999994"/>
    <n v="6619.9829999999984"/>
    <n v="6598.5070000000014"/>
    <n v="6760.9380000000001"/>
    <n v="6595.9990000000007"/>
    <n v="6594.9909999999991"/>
    <n v="6596.0399999999991"/>
    <n v="0.80413309718506232"/>
    <n v="0.99995603615950068"/>
    <n v="0.80368285875051126"/>
    <n v="0.99996359639794641"/>
    <n v="0.99995468877248428"/>
    <n v="0.9999588831358146"/>
    <n v="0.9999575518258097"/>
    <n v="0.99995436138384741"/>
    <n v="0.99995603615950068"/>
  </r>
  <r>
    <x v="0"/>
    <x v="1"/>
    <x v="1"/>
    <x v="4"/>
    <n v="3336.48"/>
    <n v="3298.8200000000011"/>
    <n v="3411.5039999999999"/>
    <n v="3377.6219999999998"/>
    <n v="3307.2759999999998"/>
    <n v="3546.212"/>
    <n v="3298.7640000000001"/>
    <n v="3297.68"/>
    <n v="3298.8200000000011"/>
    <n v="1.1287344746558932E-2"/>
    <n v="-2.2485973241260216E-2"/>
    <n v="-1.2330959574161939E-2"/>
    <n v="8.7529372272575224E-3"/>
    <n v="-6.2860259914640573E-2"/>
    <n v="1.1304128902316182E-2"/>
    <n v="1.1629022203040384E-2"/>
    <n v="1.1287344746558932E-2"/>
    <m/>
    <n v="2667.63"/>
    <n v="3298.64"/>
    <n v="2742.078"/>
    <n v="3377.4679999999998"/>
    <n v="3307.136"/>
    <n v="3546.0189999999998"/>
    <n v="3298.608999999999"/>
    <n v="3297.5249999999992"/>
    <n v="3298.64"/>
    <n v="0.79953423967774429"/>
    <n v="0.9999454350343453"/>
    <n v="0.80377393665667696"/>
    <n v="0.99995440579200401"/>
    <n v="0.99995766909081674"/>
    <n v="0.9999455757298209"/>
    <n v="0.99995301270415193"/>
    <n v="0.99995299725867859"/>
    <n v="0.9999454350343453"/>
  </r>
  <r>
    <x v="0"/>
    <x v="2"/>
    <x v="2"/>
    <x v="0"/>
    <n v="5545.79"/>
    <n v="5545.79"/>
    <n v="5545.79"/>
    <n v="5545.79"/>
    <n v="5545.79"/>
    <n v="5545.79"/>
    <n v="5545.79"/>
    <n v="5545.79"/>
    <n v="5545.79"/>
    <n v="0"/>
    <n v="0"/>
    <n v="0"/>
    <n v="0"/>
    <n v="0"/>
    <n v="0"/>
    <n v="0"/>
    <n v="0"/>
    <m/>
    <n v="4436.46"/>
    <n v="5545.7700000000013"/>
    <n v="4436.46"/>
    <n v="5545.7700000000013"/>
    <n v="5545.7700000000013"/>
    <n v="5545.7700000000013"/>
    <n v="5545.7700000000013"/>
    <n v="5545.7700000000013"/>
    <n v="5545.7700000000013"/>
    <n v="0.79996898548268147"/>
    <n v="0.99999639366077719"/>
    <n v="0.79996898548268147"/>
    <n v="0.99999639366077719"/>
    <n v="0.99999639366077719"/>
    <n v="0.99999639366077719"/>
    <n v="0.99999639366077719"/>
    <n v="0.99999639366077719"/>
    <n v="0.99999639366077719"/>
  </r>
  <r>
    <x v="0"/>
    <x v="2"/>
    <x v="2"/>
    <x v="1"/>
    <n v="2775.43"/>
    <n v="2773.099999999999"/>
    <n v="2778.3130000000001"/>
    <n v="2772.9349999999999"/>
    <n v="2772.94"/>
    <n v="2772.9209999999998"/>
    <n v="2772.93"/>
    <n v="2772.936999999999"/>
    <n v="2772.9209999999998"/>
    <n v="8.3950955347489829E-4"/>
    <n v="-1.0387579582263886E-3"/>
    <n v="8.989598008236169E-4"/>
    <n v="8.9715827817663635E-4"/>
    <n v="9.0400406423509676E-4"/>
    <n v="9.0076132347059745E-4"/>
    <n v="8.9823919176518512E-4"/>
    <n v="9.0400406423509676E-4"/>
    <m/>
    <n v="2218.37"/>
    <n v="2773.05"/>
    <n v="2218.2310000000002"/>
    <n v="2772.89"/>
    <n v="2772.89"/>
    <n v="2772.89"/>
    <n v="2772.89"/>
    <n v="2772.89"/>
    <n v="2772.89"/>
    <n v="0.79928875885898765"/>
    <n v="0.99998196963686892"/>
    <n v="0.79840932249174235"/>
    <n v="0.999983771707595"/>
    <n v="0.99998196859650756"/>
    <n v="0.99998882045323323"/>
    <n v="0.99998557482518491"/>
    <n v="0.99998305046238012"/>
    <n v="0.99998882045323323"/>
  </r>
  <r>
    <x v="0"/>
    <x v="2"/>
    <x v="2"/>
    <x v="2"/>
    <n v="1416.93"/>
    <n v="1416.93"/>
    <n v="1410.94"/>
    <n v="1396.354"/>
    <n v="1386.7370000000001"/>
    <n v="1408.691"/>
    <n v="1396.453"/>
    <n v="1386.509"/>
    <n v="1408.6559999999999"/>
    <n v="0"/>
    <n v="4.227449485860282E-3"/>
    <n v="1.4521535996838249E-2"/>
    <n v="2.1308744962701038E-2"/>
    <n v="5.8146838587650991E-3"/>
    <n v="1.4451666631379171E-2"/>
    <n v="2.1469656228606953E-2"/>
    <n v="5.8393851495840404E-3"/>
    <m/>
    <n v="1151.82"/>
    <n v="1416.9"/>
    <n v="1114.5930000000001"/>
    <n v="1396.3320000000001"/>
    <n v="1386.7"/>
    <n v="1408.6669999999999"/>
    <n v="1396.432"/>
    <n v="1386.4649999999999"/>
    <n v="1408.633"/>
    <n v="0.81289830831445442"/>
    <n v="0.99997882746501243"/>
    <n v="0.7899648461309482"/>
    <n v="0.99998424468293856"/>
    <n v="0.99997331866100059"/>
    <n v="0.99998296290669841"/>
    <n v="0.99998496189989927"/>
    <n v="0.9999682656225094"/>
    <n v="0.99998367237991392"/>
  </r>
  <r>
    <x v="0"/>
    <x v="2"/>
    <x v="2"/>
    <x v="3"/>
    <n v="820.28199999999993"/>
    <n v="820.28199999999993"/>
    <n v="756.02909999999997"/>
    <n v="758.17769999999996"/>
    <n v="724.39920000000006"/>
    <n v="812.28189999999995"/>
    <n v="735.83540000000005"/>
    <n v="723.65719999999999"/>
    <n v="816.42679999999996"/>
    <n v="0"/>
    <n v="7.8330257155466002E-2"/>
    <n v="7.5710914051509079E-2"/>
    <n v="0.1168900451308207"/>
    <n v="9.7528654779697414E-3"/>
    <n v="0.10294825438081036"/>
    <n v="0.11779461209681542"/>
    <n v="4.6998471257445225E-3"/>
    <m/>
    <n v="665.63"/>
    <n v="820.26"/>
    <n v="601.85369999999989"/>
    <n v="758.14459999999997"/>
    <n v="724.36820000000012"/>
    <n v="812.25580000000014"/>
    <n v="735.82060000000001"/>
    <n v="723.62239999999997"/>
    <n v="816.40370000000007"/>
    <n v="0.81146483770215616"/>
    <n v="0.9999731799551862"/>
    <n v="0.79607213531860077"/>
    <n v="0.99995634268852807"/>
    <n v="0.999957205916296"/>
    <n v="0.9999678682979396"/>
    <n v="0.99997988680620686"/>
    <n v="0.99995191093241387"/>
    <n v="0.99997170597535523"/>
  </r>
  <r>
    <x v="0"/>
    <x v="2"/>
    <x v="2"/>
    <x v="4"/>
    <n v="499.04599999999999"/>
    <n v="499.04599999999999"/>
    <n v="498.09219999999999"/>
    <n v="498.79559999999998"/>
    <n v="492.75240000000002"/>
    <n v="501.23230000000001"/>
    <n v="499.0437"/>
    <n v="492.76940000000002"/>
    <n v="499.02300000000002"/>
    <n v="0"/>
    <n v="1.911246658624658E-3"/>
    <n v="5.0175735302960709E-4"/>
    <n v="1.2611262288446294E-2"/>
    <n v="-4.3809588695230845E-3"/>
    <n v="4.6087935781292445E-6"/>
    <n v="1.257719729243391E-2"/>
    <n v="4.6087935781406351E-5"/>
    <m/>
    <n v="410.66199999999998"/>
    <n v="499.02400000000011"/>
    <n v="409.69080000000002"/>
    <n v="498.75200000000012"/>
    <n v="492.71580000000012"/>
    <n v="501.20339999999999"/>
    <n v="499.01979999999998"/>
    <n v="492.73629999999991"/>
    <n v="498.99950000000013"/>
    <n v="0.82289408190828095"/>
    <n v="0.99995591588751365"/>
    <n v="0.82252000734000663"/>
    <n v="0.99991258944545647"/>
    <n v="0.99992572334503105"/>
    <n v="0.99994234210365129"/>
    <n v="0.99995210840253068"/>
    <n v="0.99993282862125754"/>
    <n v="0.99995290798219738"/>
  </r>
  <r>
    <x v="0"/>
    <x v="3"/>
    <x v="3"/>
    <x v="0"/>
    <n v="14106.1"/>
    <n v="14106.1"/>
    <n v="14106.1"/>
    <n v="14106.1"/>
    <n v="14106.1"/>
    <n v="14106.1"/>
    <n v="14106.1"/>
    <n v="14106.1"/>
    <n v="14106.1"/>
    <n v="0"/>
    <n v="0"/>
    <n v="0"/>
    <n v="0"/>
    <n v="0"/>
    <n v="0"/>
    <n v="0"/>
    <n v="0"/>
    <m/>
    <n v="11884.3"/>
    <n v="14106.1"/>
    <n v="11884.3"/>
    <n v="14106.1"/>
    <n v="14106.1"/>
    <n v="14106.1"/>
    <n v="14106.1"/>
    <n v="14106.1"/>
    <n v="14106.1"/>
    <n v="0.84249367295000033"/>
    <n v="1"/>
    <n v="0.84249367295000033"/>
    <n v="1"/>
    <n v="1"/>
    <n v="1"/>
    <n v="1"/>
    <n v="1"/>
    <n v="1"/>
  </r>
  <r>
    <x v="0"/>
    <x v="3"/>
    <x v="3"/>
    <x v="1"/>
    <n v="7053.43"/>
    <n v="7053.83"/>
    <n v="7071.6779999999999"/>
    <n v="7053.2030000000004"/>
    <n v="7053.23"/>
    <n v="7053.2110000000002"/>
    <n v="7053.2"/>
    <n v="7053.2070000000003"/>
    <n v="7053.2169999999996"/>
    <n v="-5.6709997830791005E-5"/>
    <n v="-2.5871101010429809E-3"/>
    <n v="3.2182923768983567E-5"/>
    <n v="2.8354998915524445E-5"/>
    <n v="3.1048723812393531E-5"/>
    <n v="3.2608248752801537E-5"/>
    <n v="3.1615823790688552E-5"/>
    <n v="3.0198073845015482E-5"/>
    <m/>
    <n v="5942.2299999999987"/>
    <n v="7053.62"/>
    <n v="5942.1350000000002"/>
    <n v="7053.0550000000003"/>
    <n v="7053.05"/>
    <n v="7053.067"/>
    <n v="7053.05"/>
    <n v="7053.05"/>
    <n v="7053.0839999999998"/>
    <n v="0.84245962602591906"/>
    <n v="0.99997022893945553"/>
    <n v="0.84027228049693448"/>
    <n v="0.99997901662549626"/>
    <n v="0.99997447977735032"/>
    <n v="0.9999795837668829"/>
    <n v="0.99997873305733576"/>
    <n v="0.99997774062210276"/>
    <n v="0.99998114335628696"/>
  </r>
  <r>
    <x v="0"/>
    <x v="3"/>
    <x v="3"/>
    <x v="2"/>
    <n v="3550.92"/>
    <n v="3527.0100000000011"/>
    <n v="3562.668999999999"/>
    <n v="3527.3609999999999"/>
    <n v="3526.652"/>
    <n v="3561.447999999999"/>
    <n v="3526.7979999999998"/>
    <n v="3526.6320000000001"/>
    <n v="3527.0100000000011"/>
    <n v="6.7334662566317866E-3"/>
    <n v="-3.3087199936914619E-3"/>
    <n v="6.6346186340441905E-3"/>
    <n v="6.8342851993286324E-3"/>
    <n v="-2.9648654433214162E-3"/>
    <n v="6.7931690942066554E-3"/>
    <n v="6.8399175424960325E-3"/>
    <n v="6.7334662566317866E-3"/>
    <m/>
    <n v="2974.82"/>
    <n v="3526.91"/>
    <n v="2971.8319999999999"/>
    <n v="3527.2669999999998"/>
    <n v="3526.556"/>
    <n v="3561.3649999999998"/>
    <n v="3526.697999999999"/>
    <n v="3526.5309999999999"/>
    <n v="3526.91"/>
    <n v="0.83776035506291335"/>
    <n v="0.99997164737270339"/>
    <n v="0.8341588848136049"/>
    <n v="0.99997335118237118"/>
    <n v="0.99997277871476975"/>
    <n v="0.99997669487242291"/>
    <n v="0.99997164566839358"/>
    <n v="0.99997136077708138"/>
    <n v="0.99997164737270339"/>
  </r>
  <r>
    <x v="0"/>
    <x v="3"/>
    <x v="3"/>
    <x v="3"/>
    <n v="1808.49"/>
    <n v="1808.5"/>
    <n v="1816.0429999999999"/>
    <n v="1795.5350000000001"/>
    <n v="1764.03"/>
    <n v="1839.441"/>
    <n v="1782.8030000000001"/>
    <n v="1763.383"/>
    <n v="1808.5"/>
    <n v="-5.5294748657669688E-6"/>
    <n v="-4.1764123661175252E-3"/>
    <n v="7.1634346886075831E-3"/>
    <n v="2.458404525322232E-2"/>
    <n v="-1.7114277657050921E-2"/>
    <n v="1.4203562087708474E-2"/>
    <n v="2.4941802277037732E-2"/>
    <n v="-5.5294748657669688E-6"/>
    <m/>
    <n v="1543.36"/>
    <n v="1808.43"/>
    <n v="1512.8219999999999"/>
    <n v="1795.49"/>
    <n v="1763.99"/>
    <n v="1839.3579999999999"/>
    <n v="1782.7619999999999"/>
    <n v="1763.325"/>
    <n v="1808.43"/>
    <n v="0.85339703288378699"/>
    <n v="0.99996129388996413"/>
    <n v="0.8330320372370037"/>
    <n v="0.99997493783189961"/>
    <n v="0.99997732464867384"/>
    <n v="0.99995487759596524"/>
    <n v="0.99997700250672672"/>
    <n v="0.9999671086769012"/>
    <n v="0.99996129388996413"/>
  </r>
  <r>
    <x v="0"/>
    <x v="3"/>
    <x v="3"/>
    <x v="4"/>
    <n v="950.03199999999993"/>
    <n v="950.03199999999993"/>
    <n v="1009.3487"/>
    <n v="984.06880000000001"/>
    <n v="892.05409999999995"/>
    <n v="996.33109999999999"/>
    <n v="913.54969999999992"/>
    <n v="883.63319999999999"/>
    <n v="950.03199999999993"/>
    <n v="0"/>
    <n v="-6.2436528453778492E-2"/>
    <n v="-3.5827003721979986E-2"/>
    <n v="6.1027312764201605E-2"/>
    <n v="-4.8734253161998829E-2"/>
    <n v="3.8401127540967056E-2"/>
    <n v="6.989111945702875E-2"/>
    <n v="0"/>
    <m/>
    <n v="817.43599999999992"/>
    <n v="949.97399999999993"/>
    <n v="854.83809999999994"/>
    <n v="983.96060000000011"/>
    <n v="892.01860000000011"/>
    <n v="996.23170000000005"/>
    <n v="913.53239999999983"/>
    <n v="883.56810000000007"/>
    <n v="949.97399999999993"/>
    <n v="0.86042996446435482"/>
    <n v="0.9999389494248615"/>
    <n v="0.84692049437424344"/>
    <n v="0.99989004833808381"/>
    <n v="0.99996020420734588"/>
    <n v="0.99990023396840677"/>
    <n v="0.99998106288032262"/>
    <n v="0.999926326896726"/>
    <n v="0.9999389494248615"/>
  </r>
  <r>
    <x v="1"/>
    <x v="4"/>
    <x v="4"/>
    <x v="0"/>
    <n v="867.33799999999997"/>
    <n v="867.33799999999997"/>
    <n v="867.33799999999997"/>
    <n v="867.33799999999997"/>
    <n v="867.33799999999997"/>
    <n v="867.33799999999997"/>
    <n v="867.33799999999997"/>
    <n v="867.33799999999997"/>
    <n v="867.33799999999997"/>
    <n v="0"/>
    <n v="0"/>
    <n v="0"/>
    <n v="0"/>
    <n v="0"/>
    <n v="0"/>
    <n v="0"/>
    <n v="0"/>
    <m/>
    <n v="862.69899999999996"/>
    <n v="867.28300000000002"/>
    <n v="862.69899999999996"/>
    <n v="867.28300000000002"/>
    <n v="867.28300000000002"/>
    <n v="867.28300000000002"/>
    <n v="867.28300000000002"/>
    <n v="867.28300000000002"/>
    <n v="867.28300000000002"/>
    <n v="0.99465145076083372"/>
    <n v="0.99993658758177328"/>
    <n v="0.99465145076083372"/>
    <n v="0.99993658758177328"/>
    <n v="0.99993658758177328"/>
    <n v="0.99993658758177328"/>
    <n v="0.99993658758177328"/>
    <n v="0.99993658758177328"/>
    <n v="0.99993658758177328"/>
  </r>
  <r>
    <x v="1"/>
    <x v="4"/>
    <x v="4"/>
    <x v="1"/>
    <n v="433.99799999999988"/>
    <n v="434.48399999999998"/>
    <n v="433.98309999999998"/>
    <n v="434.18520000000001"/>
    <n v="433.67779999999999"/>
    <n v="433.73869999999999"/>
    <n v="433.70580000000001"/>
    <n v="433.67750000000001"/>
    <n v="433.73759999999999"/>
    <n v="-1.1198208286676524E-3"/>
    <n v="3.4331955446563759E-5"/>
    <n v="-4.3133839326478968E-4"/>
    <n v="7.3779141839337096E-4"/>
    <n v="5.9746819109738399E-4"/>
    <n v="6.7327499205034635E-4"/>
    <n v="7.384826658184318E-4"/>
    <n v="6.0000276498944829E-4"/>
    <m/>
    <n v="431.85599999999988"/>
    <n v="434.45499999999998"/>
    <n v="431.37560000000002"/>
    <n v="434.15440000000001"/>
    <n v="433.642"/>
    <n v="433.70279999999991"/>
    <n v="433.67140000000001"/>
    <n v="433.642"/>
    <n v="433.70260000000007"/>
    <n v="0.99506449338476211"/>
    <n v="0.9999332541589564"/>
    <n v="0.99399170152017446"/>
    <n v="0.99992906252907743"/>
    <n v="0.99991745023609691"/>
    <n v="0.99991723127311427"/>
    <n v="0.99992068356014607"/>
    <n v="0.99991814193726902"/>
    <n v="0.99991930605047863"/>
  </r>
  <r>
    <x v="1"/>
    <x v="4"/>
    <x v="4"/>
    <x v="2"/>
    <n v="244.23400000000001"/>
    <n v="244.23400000000001"/>
    <n v="251.67519999999999"/>
    <n v="250.9023"/>
    <n v="256.21280000000002"/>
    <n v="246.7808"/>
    <n v="242.8766"/>
    <n v="241.94069999999999"/>
    <n v="242.93680000000001"/>
    <n v="0"/>
    <n v="-3.0467502477132508E-2"/>
    <n v="-2.730291441813993E-2"/>
    <n v="-4.9046406315255066E-2"/>
    <n v="-1.0427704578396089E-2"/>
    <n v="5.5577847474144165E-3"/>
    <n v="9.389765552707716E-3"/>
    <n v="5.3112998190260313E-3"/>
    <m/>
    <n v="243.43199999999999"/>
    <n v="244.22300000000001"/>
    <n v="250.79339999999999"/>
    <n v="250.89009999999999"/>
    <n v="256.20010000000002"/>
    <n v="246.7664"/>
    <n v="242.86500000000001"/>
    <n v="241.92910000000001"/>
    <n v="242.92339999999999"/>
    <n v="0.99671626391083956"/>
    <n v="0.99995496122570982"/>
    <n v="0.9964962777421057"/>
    <n v="0.99995137549556135"/>
    <n v="0.9999504318285426"/>
    <n v="0.99994164862096246"/>
    <n v="0.99995223912060693"/>
    <n v="0.99995205436704127"/>
    <n v="0.99994484162135988"/>
  </r>
  <r>
    <x v="1"/>
    <x v="4"/>
    <x v="4"/>
    <x v="3"/>
    <n v="186.41900000000001"/>
    <n v="186.41900000000001"/>
    <n v="191.49940000000001"/>
    <n v="192.64769999999999"/>
    <n v="190.70400000000001"/>
    <n v="188.81870000000001"/>
    <n v="186.41569999999999"/>
    <n v="184.51429999999999"/>
    <n v="186.41900000000001"/>
    <n v="0"/>
    <n v="-2.7252586914423942E-2"/>
    <n v="-3.3412366765190105E-2"/>
    <n v="-2.2985854446166947E-2"/>
    <n v="-1.2872614915861558E-2"/>
    <n v="1.7702058266723258E-5"/>
    <n v="1.0217306175872735E-2"/>
    <n v="0"/>
    <m/>
    <n v="186.00200000000001"/>
    <n v="186.41200000000001"/>
    <n v="191.0419"/>
    <n v="192.6397"/>
    <n v="190.6969"/>
    <n v="188.80930000000001"/>
    <n v="186.40860000000001"/>
    <n v="184.5077"/>
    <n v="186.41200000000001"/>
    <n v="0.99776310354631237"/>
    <n v="0.99996245017943453"/>
    <n v="0.99761095857219395"/>
    <n v="0.99995847342065347"/>
    <n v="0.99996276952764485"/>
    <n v="0.99995021679526441"/>
    <n v="0.99996191307920967"/>
    <n v="0.99996423041466165"/>
    <n v="0.99996245017943453"/>
  </r>
  <r>
    <x v="1"/>
    <x v="4"/>
    <x v="4"/>
    <x v="4"/>
    <n v="163.64599999999999"/>
    <n v="163.64599999999999"/>
    <n v="163.89240000000001"/>
    <n v="163.64670000000001"/>
    <n v="163.64599999999999"/>
    <n v="163.64699999999999"/>
    <n v="163.64599999999999"/>
    <n v="163.64599999999999"/>
    <n v="163.6465"/>
    <n v="0"/>
    <n v="-1.5056891094192503E-3"/>
    <n v="-4.2775258791735677E-6"/>
    <n v="0"/>
    <n v="-6.1107512557885613E-6"/>
    <n v="0"/>
    <n v="0"/>
    <n v="-3.0553756279811197E-6"/>
    <m/>
    <n v="163.41499999999999"/>
    <n v="163.642"/>
    <n v="163.6611"/>
    <n v="163.642"/>
    <n v="163.642"/>
    <n v="163.642"/>
    <n v="163.642"/>
    <n v="163.642"/>
    <n v="163.642"/>
    <n v="0.99858841645991958"/>
    <n v="0.99997555699497698"/>
    <n v="0.99858870820123447"/>
    <n v="0.99997127959195009"/>
    <n v="0.99997555699497698"/>
    <n v="0.99996944643042651"/>
    <n v="0.99997555699497698"/>
    <n v="0.99997555699497698"/>
    <n v="0.99997250170336671"/>
  </r>
  <r>
    <x v="1"/>
    <x v="5"/>
    <x v="5"/>
    <x v="0"/>
    <n v="8338.19"/>
    <n v="8338.19"/>
    <n v="8338.19"/>
    <n v="8338.19"/>
    <n v="8338.19"/>
    <n v="8338.19"/>
    <n v="8338.19"/>
    <n v="8338.19"/>
    <n v="8338.19"/>
    <n v="0"/>
    <n v="0"/>
    <n v="0"/>
    <n v="0"/>
    <n v="0"/>
    <n v="0"/>
    <n v="0"/>
    <n v="0"/>
    <m/>
    <n v="8307.31"/>
    <n v="8337.8200000000015"/>
    <n v="8307.31"/>
    <n v="8337.8200000000015"/>
    <n v="8337.8200000000015"/>
    <n v="8337.8200000000015"/>
    <n v="8337.8200000000015"/>
    <n v="8337.8200000000015"/>
    <n v="8337.8200000000015"/>
    <n v="0.99629655836578435"/>
    <n v="0.9999556258612482"/>
    <n v="0.99629655836578435"/>
    <n v="0.9999556258612482"/>
    <n v="0.9999556258612482"/>
    <n v="0.9999556258612482"/>
    <n v="0.9999556258612482"/>
    <n v="0.9999556258612482"/>
    <n v="0.9999556258612482"/>
  </r>
  <r>
    <x v="1"/>
    <x v="5"/>
    <x v="5"/>
    <x v="1"/>
    <n v="4169.42"/>
    <n v="4169.17"/>
    <n v="4170.2449999999999"/>
    <n v="4169.4580000000014"/>
    <n v="4169.128999999999"/>
    <n v="4169.2169999999996"/>
    <n v="4169.1200000000008"/>
    <n v="4169.1240000000007"/>
    <n v="4169.17"/>
    <n v="5.9960378182097267E-5"/>
    <n v="-1.9786924800087736E-4"/>
    <n v="-9.1139774840086037E-6"/>
    <n v="6.9793880204219489E-5"/>
    <n v="4.8687827083965941E-5"/>
    <n v="7.1952453818342218E-5"/>
    <n v="7.099308776745135E-5"/>
    <n v="5.9960378182097267E-5"/>
    <m/>
    <n v="4153.6900000000014"/>
    <n v="4168.96"/>
    <n v="4154.3639999999996"/>
    <n v="4169.2490000000007"/>
    <n v="4168.9100000000008"/>
    <n v="4169.0099999999993"/>
    <n v="4168.9100000000008"/>
    <n v="4168.9100000000008"/>
    <n v="4168.96"/>
    <n v="0.99622729300478274"/>
    <n v="0.99994963026213846"/>
    <n v="0.99619183045600435"/>
    <n v="0.99994987358069065"/>
    <n v="0.99994747104251314"/>
    <n v="0.9999503503895335"/>
    <n v="0.99994962965805734"/>
    <n v="0.99994867027222023"/>
    <n v="0.99994963026213846"/>
  </r>
  <r>
    <x v="1"/>
    <x v="5"/>
    <x v="5"/>
    <x v="2"/>
    <n v="2084.92"/>
    <n v="2084.9499999999998"/>
    <n v="2146.9949999999999"/>
    <n v="2150.9380000000001"/>
    <n v="2131.154"/>
    <n v="2113.2739999999999"/>
    <n v="2084.645"/>
    <n v="2084.616"/>
    <n v="2084.9499999999998"/>
    <n v="-1.43890413060191E-5"/>
    <n v="-2.9773324635957166E-2"/>
    <n v="-3.166452429829443E-2"/>
    <n v="-2.2175431191604436E-2"/>
    <n v="-1.3599562573144203E-2"/>
    <n v="1.3189954530633835E-4"/>
    <n v="1.4580895190227313E-4"/>
    <n v="-1.43890413060191E-5"/>
    <m/>
    <n v="2076.91"/>
    <n v="2084.84"/>
    <n v="2139.420000000001"/>
    <n v="2150.828"/>
    <n v="2131.0430000000001"/>
    <n v="2113.1559999999999"/>
    <n v="2084.5300000000002"/>
    <n v="2084.5"/>
    <n v="2084.84"/>
    <n v="0.99615812597126019"/>
    <n v="0.99994724094102994"/>
    <n v="0.99647181292923415"/>
    <n v="0.99994885952082291"/>
    <n v="0.99994791554247142"/>
    <n v="0.99994416247017659"/>
    <n v="0.99994483473205276"/>
    <n v="0.99994435425996919"/>
    <n v="0.99994724094102994"/>
  </r>
  <r>
    <x v="1"/>
    <x v="5"/>
    <x v="5"/>
    <x v="3"/>
    <n v="1042.9000000000001"/>
    <n v="1042.72"/>
    <n v="1163.8340000000001"/>
    <n v="1158.027"/>
    <n v="1150.905"/>
    <n v="1122.981"/>
    <n v="1042.566"/>
    <n v="1042.356"/>
    <n v="1042.72"/>
    <n v="1.72595646754304E-4"/>
    <n v="-0.1159593441365423"/>
    <n v="-0.11039121679930956"/>
    <n v="-0.10356218237606661"/>
    <n v="-7.6786844376258406E-2"/>
    <n v="3.202608111995973E-4"/>
    <n v="5.2162239907958233E-4"/>
    <n v="1.72595646754304E-4"/>
    <m/>
    <n v="1038.79"/>
    <n v="1042.67"/>
    <n v="1159.607"/>
    <n v="1157.9659999999999"/>
    <n v="1150.846"/>
    <n v="1122.913"/>
    <n v="1042.5070000000001"/>
    <n v="1042.29"/>
    <n v="1042.67"/>
    <n v="0.99605906606577799"/>
    <n v="0.99995204848856845"/>
    <n v="0.99636803874092006"/>
    <n v="0.99994732419883114"/>
    <n v="0.99994873599471723"/>
    <n v="0.99993944688289471"/>
    <n v="0.99994340885852795"/>
    <n v="0.99993668190138496"/>
    <n v="0.99995204848856845"/>
  </r>
  <r>
    <x v="1"/>
    <x v="5"/>
    <x v="5"/>
    <x v="4"/>
    <n v="546.971"/>
    <n v="546.971"/>
    <n v="667.21879999999987"/>
    <n v="672.72009999999989"/>
    <n v="645.86120000000005"/>
    <n v="630.50120000000004"/>
    <n v="546.80240000000003"/>
    <n v="545.54589999999996"/>
    <n v="546.97099999999989"/>
    <n v="0"/>
    <n v="-0.2198430995427543"/>
    <n v="-0.22990085397580473"/>
    <n v="-0.18079605682933839"/>
    <n v="-0.15271412926827937"/>
    <n v="3.0824303299438076E-4"/>
    <n v="2.6054397765147386E-3"/>
    <n v="2.0784801702762309E-16"/>
    <m/>
    <n v="545.67200000000014"/>
    <n v="546.947"/>
    <n v="665.4239"/>
    <n v="672.68749999999989"/>
    <n v="645.82670000000007"/>
    <n v="630.45659999999998"/>
    <n v="546.77610000000004"/>
    <n v="545.52029999999991"/>
    <n v="546.947"/>
    <n v="0.99762510261055914"/>
    <n v="0.99995612198818584"/>
    <n v="0.99730987795907444"/>
    <n v="0.99995154002385245"/>
    <n v="0.99994658295002092"/>
    <n v="0.99992926262471815"/>
    <n v="0.99995190218623764"/>
    <n v="0.99995307452590143"/>
    <n v="0.99995612198818606"/>
  </r>
  <r>
    <x v="1"/>
    <x v="6"/>
    <x v="6"/>
    <x v="0"/>
    <n v="3675.9100000000012"/>
    <n v="3675.9100000000012"/>
    <n v="3675.9100000000012"/>
    <n v="3675.9100000000012"/>
    <n v="3675.9100000000012"/>
    <n v="3675.9100000000012"/>
    <n v="3675.9100000000012"/>
    <n v="3675.9100000000012"/>
    <n v="3675.9100000000012"/>
    <n v="0"/>
    <n v="0"/>
    <n v="0"/>
    <n v="0"/>
    <n v="0"/>
    <n v="0"/>
    <n v="0"/>
    <n v="0"/>
    <m/>
    <n v="3666.6799999999989"/>
    <n v="3675.8000000000011"/>
    <n v="3666.6799999999989"/>
    <n v="3675.8000000000011"/>
    <n v="3675.8000000000011"/>
    <n v="3675.8000000000011"/>
    <n v="3675.8000000000011"/>
    <n v="3675.8000000000011"/>
    <n v="3675.8000000000011"/>
    <n v="0.99748905713143077"/>
    <n v="0.99997007543710259"/>
    <n v="0.99748905713143077"/>
    <n v="0.99997007543710259"/>
    <n v="0.99997007543710259"/>
    <n v="0.99997007543710259"/>
    <n v="0.99997007543710259"/>
    <n v="0.99997007543710259"/>
    <n v="0.99997007543710259"/>
  </r>
  <r>
    <x v="1"/>
    <x v="6"/>
    <x v="6"/>
    <x v="1"/>
    <n v="1842.04"/>
    <n v="1842.04"/>
    <n v="1838.075"/>
    <n v="1837.962"/>
    <n v="1837.962"/>
    <n v="1838.3610000000001"/>
    <n v="1837.963"/>
    <n v="1837.963"/>
    <n v="1838.3330000000001"/>
    <n v="0"/>
    <n v="2.1525048315997036E-3"/>
    <n v="2.2138498621093869E-3"/>
    <n v="2.2138498621093869E-3"/>
    <n v="1.9972421880088704E-3"/>
    <n v="2.2133069857332077E-3"/>
    <n v="2.2133069857332077E-3"/>
    <n v="2.0124427265422466E-3"/>
    <m/>
    <n v="1837.49"/>
    <n v="1841.98"/>
    <n v="1833.34"/>
    <n v="1837.9"/>
    <n v="1837.9"/>
    <n v="1838.299"/>
    <n v="1837.902"/>
    <n v="1837.9"/>
    <n v="1838.271"/>
    <n v="0.99752991248832823"/>
    <n v="0.9999674274174285"/>
    <n v="0.99742393536716389"/>
    <n v="0.99996626698484525"/>
    <n v="0.99996626698484525"/>
    <n v="0.99996627430629781"/>
    <n v="0.99996681108379226"/>
    <n v="0.9999657229226051"/>
    <n v="0.99996627379261527"/>
  </r>
  <r>
    <x v="1"/>
    <x v="6"/>
    <x v="6"/>
    <x v="2"/>
    <n v="920.17300000000012"/>
    <n v="920.30700000000013"/>
    <n v="925.94929999999999"/>
    <n v="926.00729999999999"/>
    <n v="920.47429999999986"/>
    <n v="936.59100000000012"/>
    <n v="919.76719999999989"/>
    <n v="919.01700000000005"/>
    <n v="920.30700000000013"/>
    <n v="-1.456247901210039E-4"/>
    <n v="-6.2774065311630286E-3"/>
    <n v="-6.3404381567377767E-3"/>
    <n v="-3.2743842733892634E-4"/>
    <n v="-1.7842297046316295E-2"/>
    <n v="4.410040285905222E-4"/>
    <n v="1.256285502834861E-3"/>
    <n v="-1.456247901210039E-4"/>
    <m/>
    <n v="917.81600000000014"/>
    <n v="920.26900000000001"/>
    <n v="923.62389999999994"/>
    <n v="925.97500000000014"/>
    <n v="920.44089999999994"/>
    <n v="936.55520000000013"/>
    <n v="919.73329999999987"/>
    <n v="918.98149999999987"/>
    <n v="920.26900000000001"/>
    <n v="0.99743852514690179"/>
    <n v="0.99995870943065723"/>
    <n v="0.99748863139698896"/>
    <n v="0.99996511906547625"/>
    <n v="0.99996371435899956"/>
    <n v="0.99996177627160632"/>
    <n v="0.99996314284745091"/>
    <n v="0.99996137177005406"/>
    <n v="0.99995870943065723"/>
  </r>
  <r>
    <x v="1"/>
    <x v="6"/>
    <x v="6"/>
    <x v="3"/>
    <n v="477.82799999999992"/>
    <n v="477.82799999999992"/>
    <n v="492.21789999999999"/>
    <n v="500.17729999999989"/>
    <n v="484.78140000000002"/>
    <n v="493.38909999999998"/>
    <n v="467.35180000000003"/>
    <n v="459.57310000000001"/>
    <n v="477.82799999999992"/>
    <n v="0"/>
    <n v="-3.0115229747942923E-2"/>
    <n v="-4.6772688080229656E-2"/>
    <n v="-1.4552098244556834E-2"/>
    <n v="-3.2566320935566918E-2"/>
    <n v="2.1924625597495112E-2"/>
    <n v="3.8203914379232505E-2"/>
    <n v="0"/>
    <m/>
    <n v="476.67899999999997"/>
    <n v="477.81099999999998"/>
    <n v="491.24160000000001"/>
    <n v="500.16169999999988"/>
    <n v="484.76540000000011"/>
    <n v="493.37060000000002"/>
    <n v="467.33569999999997"/>
    <n v="459.55430000000013"/>
    <n v="477.81099999999998"/>
    <n v="0.9975953690449284"/>
    <n v="0.99996442234444205"/>
    <n v="0.99801652885845882"/>
    <n v="0.99996881105959823"/>
    <n v="0.99996699543340584"/>
    <n v="0.99996250423854127"/>
    <n v="0.99996555057667469"/>
    <n v="0.99995909247081716"/>
    <n v="0.99996442234444205"/>
  </r>
  <r>
    <x v="1"/>
    <x v="6"/>
    <x v="6"/>
    <x v="4"/>
    <n v="270.66600000000011"/>
    <n v="270.66600000000011"/>
    <n v="306.25839999999988"/>
    <n v="312.9418"/>
    <n v="290.12819999999999"/>
    <n v="293.08890000000002"/>
    <n v="270.66629999999998"/>
    <n v="264.0675"/>
    <n v="270.66600000000011"/>
    <n v="0"/>
    <n v="-0.13149933866832095"/>
    <n v="-0.15619176401912274"/>
    <n v="-7.1904856908514087E-2"/>
    <n v="-8.2843430648843613E-2"/>
    <n v="-1.1083771137411063E-6"/>
    <n v="2.4378754627474866E-2"/>
    <n v="0"/>
    <m/>
    <n v="270.24900000000002"/>
    <n v="270.65899999999999"/>
    <n v="305.75810000000001"/>
    <n v="312.9316"/>
    <n v="290.11980000000011"/>
    <n v="293.07729999999998"/>
    <n v="270.65899999999999"/>
    <n v="264.05930000000001"/>
    <n v="270.65899999999999"/>
    <n v="0.99845935581122092"/>
    <n v="0.99997413786733425"/>
    <n v="0.99836641215392008"/>
    <n v="0.99996740607998036"/>
    <n v="0.99997104728185715"/>
    <n v="0.99996042156492437"/>
    <n v="0.99997302952011391"/>
    <n v="0.99996894733354169"/>
    <n v="0.99997413786733425"/>
  </r>
  <r>
    <x v="1"/>
    <x v="7"/>
    <x v="7"/>
    <x v="0"/>
    <n v="15935.2"/>
    <n v="15935.2"/>
    <n v="15935.2"/>
    <n v="15935.2"/>
    <n v="15935.2"/>
    <n v="15935.2"/>
    <n v="15935.2"/>
    <n v="15935.2"/>
    <n v="15935.2"/>
    <n v="0"/>
    <n v="0"/>
    <n v="0"/>
    <n v="0"/>
    <n v="0"/>
    <n v="0"/>
    <n v="0"/>
    <n v="0"/>
    <m/>
    <n v="15858.2"/>
    <n v="15934.3"/>
    <n v="15858.2"/>
    <n v="15934.3"/>
    <n v="15934.3"/>
    <n v="15934.3"/>
    <n v="15934.3"/>
    <n v="15934.3"/>
    <n v="15934.3"/>
    <n v="0.9951679301169738"/>
    <n v="0.99994352126110742"/>
    <n v="0.9951679301169738"/>
    <n v="0.99994352126110742"/>
    <n v="0.99994352126110742"/>
    <n v="0.99994352126110742"/>
    <n v="0.99994352126110742"/>
    <n v="0.99994352126110742"/>
    <n v="0.99994352126110742"/>
  </r>
  <r>
    <x v="1"/>
    <x v="7"/>
    <x v="7"/>
    <x v="1"/>
    <n v="7968.19"/>
    <n v="7967.7"/>
    <n v="8095.7049999999999"/>
    <n v="8093.0229999999992"/>
    <n v="8020.6150000000007"/>
    <n v="7969.3029999999999"/>
    <n v="7967.6989999999987"/>
    <n v="7967.7120000000014"/>
    <n v="7967.7"/>
    <n v="6.1494517575482233E-5"/>
    <n v="-1.6003006956410468E-2"/>
    <n v="-1.566641859694606E-2"/>
    <n v="-6.5792858855023657E-3"/>
    <n v="-1.396804042072646E-4"/>
    <n v="6.1620016591082156E-5"/>
    <n v="5.9988529389766875E-5"/>
    <n v="6.1494517575482233E-5"/>
    <m/>
    <n v="7929.1000000000013"/>
    <n v="7967.1799999999976"/>
    <n v="8056.7190000000001"/>
    <n v="8092.5029999999997"/>
    <n v="8020.0899999999992"/>
    <n v="7968.7830000000004"/>
    <n v="7967.17"/>
    <n v="7967.17"/>
    <n v="7967.1760000000013"/>
    <n v="0.99509424348566011"/>
    <n v="0.99993473649861286"/>
    <n v="0.99518436010205413"/>
    <n v="0.9999357471244058"/>
    <n v="0.99993454367277301"/>
    <n v="0.99993474962615936"/>
    <n v="0.99993360692967959"/>
    <n v="0.99993197545292789"/>
    <n v="0.99993423447167962"/>
  </r>
  <r>
    <x v="1"/>
    <x v="7"/>
    <x v="7"/>
    <x v="2"/>
    <n v="3984.47"/>
    <n v="3983.880000000001"/>
    <n v="4204.3969999999999"/>
    <n v="4203.8339999999998"/>
    <n v="4147.9109999999991"/>
    <n v="4093.47"/>
    <n v="3983.871000000001"/>
    <n v="3983.886"/>
    <n v="3983.88"/>
    <n v="1.4807490080205932E-4"/>
    <n v="-5.5196048658918286E-2"/>
    <n v="-5.5054750067135665E-2"/>
    <n v="-4.1019508240744532E-2"/>
    <n v="-2.735621048721662E-2"/>
    <n v="1.5033367047531939E-4"/>
    <n v="1.4656905435348556E-4"/>
    <n v="1.4807490080228757E-4"/>
    <m/>
    <n v="3964.79"/>
    <n v="3983.5899999999988"/>
    <n v="4183.893"/>
    <n v="4203.5450000000001"/>
    <n v="4147.621000000001"/>
    <n v="4093.1990000000001"/>
    <n v="3983.5899999999988"/>
    <n v="3983.58"/>
    <n v="3983.5899999999988"/>
    <n v="0.99506082364781268"/>
    <n v="0.99992720664276979"/>
    <n v="0.995123200782419"/>
    <n v="0.99993125323216858"/>
    <n v="0.99993008528871563"/>
    <n v="0.99993379699863449"/>
    <n v="0.99992946558761509"/>
    <n v="0.99992319057322421"/>
    <n v="0.99992720664277002"/>
  </r>
  <r>
    <x v="1"/>
    <x v="7"/>
    <x v="7"/>
    <x v="3"/>
    <n v="1992.38"/>
    <n v="1992.1"/>
    <n v="2255.5459999999998"/>
    <n v="2261.85"/>
    <n v="2204.663"/>
    <n v="2330.6889999999999"/>
    <n v="1992.0730000000001"/>
    <n v="1991.99"/>
    <n v="1992.1"/>
    <n v="1.405354400266014E-4"/>
    <n v="-0.13208624860719326"/>
    <n v="-0.1352503036569328"/>
    <n v="-0.10654744576837746"/>
    <n v="-0.16980144349973383"/>
    <n v="1.5408707174335035E-4"/>
    <n v="1.957457914655337E-4"/>
    <n v="1.405354400266014E-4"/>
    <m/>
    <n v="1982.41"/>
    <n v="1991.94"/>
    <n v="2245.0329999999999"/>
    <n v="2261.7150000000001"/>
    <n v="2204.502"/>
    <n v="2330.5479999999998"/>
    <n v="1991.922"/>
    <n v="1991.826"/>
    <n v="1991.94"/>
    <n v="0.99499593451048496"/>
    <n v="0.99991968274685017"/>
    <n v="0.99533904429348818"/>
    <n v="0.99994031434445263"/>
    <n v="0.99992697296593624"/>
    <n v="0.99993950286803601"/>
    <n v="0.9999241995649758"/>
    <n v="0.99991767026942902"/>
    <n v="0.99991968274685017"/>
  </r>
  <r>
    <x v="1"/>
    <x v="7"/>
    <x v="7"/>
    <x v="4"/>
    <n v="996.52800000000002"/>
    <n v="996.19600000000003"/>
    <n v="1312.6479999999999"/>
    <n v="1316.3989999999999"/>
    <n v="1234.271"/>
    <n v="1382.3679999999999"/>
    <n v="996.14899999999977"/>
    <n v="996.03599999999983"/>
    <n v="996.19600000000014"/>
    <n v="3.3315672013229297E-4"/>
    <n v="-0.31722139267536875"/>
    <n v="-0.32098546152240565"/>
    <n v="-0.23857131962172656"/>
    <n v="-0.38718430390315167"/>
    <n v="3.8032047268139627E-4"/>
    <n v="4.9371417561793461E-4"/>
    <n v="3.3315672013217886E-4"/>
    <m/>
    <n v="991.37299999999993"/>
    <n v="996.11699999999996"/>
    <n v="1307.8399999999999"/>
    <n v="1316.3240000000001"/>
    <n v="1234.1849999999999"/>
    <n v="1382.2719999999999"/>
    <n v="996.06849999999997"/>
    <n v="995.95240000000013"/>
    <n v="996.11699999999996"/>
    <n v="0.9948270394810782"/>
    <n v="0.9999206983364719"/>
    <n v="0.99633717493189344"/>
    <n v="0.99994302639245414"/>
    <n v="0.99993032324343678"/>
    <n v="0.99993055394800801"/>
    <n v="0.99991918879605379"/>
    <n v="0.99991606729074078"/>
    <n v="0.99992069833647179"/>
  </r>
  <r>
    <x v="2"/>
    <x v="8"/>
    <x v="8"/>
    <x v="0"/>
    <n v="550.68299999999999"/>
    <n v="550.68299999999999"/>
    <n v="550.68299999999999"/>
    <n v="550.68299999999999"/>
    <n v="550.68299999999999"/>
    <n v="550.68299999999999"/>
    <n v="550.68299999999999"/>
    <n v="550.68299999999999"/>
    <n v="550.68299999999999"/>
    <n v="0"/>
    <n v="0"/>
    <n v="0"/>
    <n v="0"/>
    <n v="0"/>
    <n v="0"/>
    <n v="0"/>
    <n v="0"/>
    <m/>
    <n v="539.30700000000002"/>
    <n v="550.62400000000002"/>
    <n v="539.30700000000002"/>
    <n v="550.62400000000002"/>
    <n v="550.62400000000002"/>
    <n v="550.62400000000002"/>
    <n v="550.62400000000002"/>
    <n v="550.62400000000002"/>
    <n v="550.62400000000002"/>
    <n v="0.97934201709513458"/>
    <n v="0.99989286032072899"/>
    <n v="0.97934201709513458"/>
    <n v="0.99989286032072899"/>
    <n v="0.99989286032072899"/>
    <n v="0.99989286032072899"/>
    <n v="0.99989286032072899"/>
    <n v="0.99989286032072899"/>
    <n v="0.99989286032072899"/>
  </r>
  <r>
    <x v="2"/>
    <x v="8"/>
    <x v="8"/>
    <x v="1"/>
    <n v="316.93700000000001"/>
    <n v="316.39299999999997"/>
    <n v="299.70060000000001"/>
    <n v="299.38850000000002"/>
    <n v="299.24119999999999"/>
    <n v="316.87220000000002"/>
    <n v="299.40440000000001"/>
    <n v="299.40240000000011"/>
    <n v="316.50029999999998"/>
    <n v="1.7164294481238844E-3"/>
    <n v="5.4384309815515397E-2"/>
    <n v="5.5369048107352534E-2"/>
    <n v="5.5833809242846429E-2"/>
    <n v="2.0445703720294912E-4"/>
    <n v="5.5318880408409245E-2"/>
    <n v="5.5325190810791729E-2"/>
    <n v="1.3778763602862092E-3"/>
    <m/>
    <n v="309.11700000000008"/>
    <n v="315.99799999999999"/>
    <n v="293.09230000000002"/>
    <n v="298.76459999999997"/>
    <n v="298.68669999999997"/>
    <n v="315.93139999999988"/>
    <n v="298.79360000000003"/>
    <n v="298.98439999999999"/>
    <n v="315.803"/>
    <n v="0.97532632668322117"/>
    <n v="0.99875155265761262"/>
    <n v="0.97795032776043833"/>
    <n v="0.99791608562119105"/>
    <n v="0.99814697976080824"/>
    <n v="0.99703097968202914"/>
    <n v="0.99795994982037672"/>
    <n v="0.99860388560679503"/>
    <n v="0.99779684253063905"/>
  </r>
  <r>
    <x v="2"/>
    <x v="8"/>
    <x v="8"/>
    <x v="2"/>
    <n v="200.428"/>
    <n v="200.14500000000001"/>
    <n v="187.77260000000001"/>
    <n v="188.6086"/>
    <n v="186.3322"/>
    <n v="202.1848"/>
    <n v="190.3494"/>
    <n v="186.36269999999999"/>
    <n v="200.14500000000001"/>
    <n v="1.4119783662960616E-3"/>
    <n v="6.3141876384537027E-2"/>
    <n v="5.897080248268706E-2"/>
    <n v="7.0328497016384925E-2"/>
    <n v="-8.7652423813040017E-3"/>
    <n v="5.0285389266968662E-2"/>
    <n v="7.017632266948734E-2"/>
    <n v="1.4119783662960616E-3"/>
    <m/>
    <n v="193.10300000000001"/>
    <n v="198.65899999999999"/>
    <n v="182.63140000000001"/>
    <n v="187.8372"/>
    <n v="186.05099999999999"/>
    <n v="200.93389999999999"/>
    <n v="189.60069999999999"/>
    <n v="186.05099999999999"/>
    <n v="198.65899999999999"/>
    <n v="0.96345321013032115"/>
    <n v="0.99257538284743552"/>
    <n v="0.97262007342924373"/>
    <n v="0.99591004864041199"/>
    <n v="0.99849086738631321"/>
    <n v="0.99381308585017269"/>
    <n v="0.99606670680338361"/>
    <n v="0.99832745501111542"/>
    <n v="0.99257538284743552"/>
  </r>
  <r>
    <x v="2"/>
    <x v="8"/>
    <x v="8"/>
    <x v="3"/>
    <n v="137.154"/>
    <n v="137.154"/>
    <n v="134.31180000000001"/>
    <n v="134.19550000000001"/>
    <n v="133.77279999999999"/>
    <n v="162.56790000000001"/>
    <n v="134.7637"/>
    <n v="133.773"/>
    <n v="137.154"/>
    <n v="0"/>
    <n v="2.072269128133333E-2"/>
    <n v="2.1570643218571727E-2"/>
    <n v="2.46525803111831E-2"/>
    <n v="-0.18529463231112481"/>
    <n v="1.7427854820129172E-2"/>
    <n v="2.4651122096329674E-2"/>
    <n v="0"/>
    <m/>
    <n v="131.48099999999999"/>
    <n v="135.61600000000001"/>
    <n v="129.38730000000001"/>
    <n v="133.34200000000001"/>
    <n v="133.34200000000001"/>
    <n v="161.11680000000001"/>
    <n v="133.7594"/>
    <n v="133.34200000000001"/>
    <n v="135.61600000000001"/>
    <n v="0.9586377356839757"/>
    <n v="0.98878632777753483"/>
    <n v="0.96333531379968107"/>
    <n v="0.99363987615083971"/>
    <n v="0.99677961439096752"/>
    <n v="0.99107388358956472"/>
    <n v="0.99254769644941476"/>
    <n v="0.9967781241356628"/>
    <n v="0.98878632777753483"/>
  </r>
  <r>
    <x v="2"/>
    <x v="8"/>
    <x v="8"/>
    <x v="4"/>
    <n v="109.64"/>
    <n v="109.64"/>
    <n v="109.8439"/>
    <n v="110.7303"/>
    <n v="110.47790000000001"/>
    <n v="110.06950000000001"/>
    <n v="110.6575"/>
    <n v="110.47790000000001"/>
    <n v="109.9195"/>
    <n v="0"/>
    <n v="-1.8597227289310872E-3"/>
    <n v="-9.9443633710324629E-3"/>
    <n v="-7.642283838015366E-3"/>
    <n v="-3.9173659248449878E-3"/>
    <n v="-9.2803721269609472E-3"/>
    <n v="-7.642283838015366E-3"/>
    <n v="-2.5492520977745234E-3"/>
    <m/>
    <n v="104.822"/>
    <n v="108.721"/>
    <n v="104.8563"/>
    <n v="108.721"/>
    <n v="108.721"/>
    <n v="108.721"/>
    <n v="108.721"/>
    <n v="108.721"/>
    <n v="108.721"/>
    <n v="0.95605618387449842"/>
    <n v="0.99161802261948195"/>
    <n v="0.95459374621622139"/>
    <n v="0.98185410858635802"/>
    <n v="0.98409727194307639"/>
    <n v="0.9877486497167699"/>
    <n v="0.98250005648058203"/>
    <n v="0.98409727194307639"/>
    <n v="0.98909656612339036"/>
  </r>
  <r>
    <x v="2"/>
    <x v="9"/>
    <x v="9"/>
    <x v="0"/>
    <n v="13371.4"/>
    <n v="13371.4"/>
    <n v="13371.4"/>
    <n v="13371.4"/>
    <n v="13371.4"/>
    <n v="13371.4"/>
    <n v="13371.4"/>
    <n v="13371.4"/>
    <n v="13371.4"/>
    <n v="0"/>
    <n v="0"/>
    <n v="0"/>
    <n v="0"/>
    <n v="0"/>
    <n v="0"/>
    <n v="0"/>
    <n v="0"/>
    <m/>
    <n v="13218.4"/>
    <n v="13370.7"/>
    <n v="13218.4"/>
    <n v="13370.7"/>
    <n v="13370.7"/>
    <n v="13370.7"/>
    <n v="13370.7"/>
    <n v="13370.7"/>
    <n v="13370.7"/>
    <n v="0.9885576678582646"/>
    <n v="0.99994764946078951"/>
    <n v="0.9885576678582646"/>
    <n v="0.99994764946078951"/>
    <n v="0.99994764946078951"/>
    <n v="0.99994764946078951"/>
    <n v="0.99994764946078951"/>
    <n v="0.99994764946078951"/>
    <n v="0.99994764946078951"/>
  </r>
  <r>
    <x v="2"/>
    <x v="9"/>
    <x v="9"/>
    <x v="1"/>
    <n v="6735.67"/>
    <n v="6734.3900000000012"/>
    <n v="6734.6039999999994"/>
    <n v="6733.0729999999994"/>
    <n v="6732.3280000000004"/>
    <n v="7021.6650000000009"/>
    <n v="6733.759"/>
    <n v="6732.5820000000003"/>
    <n v="6733.7449999999999"/>
    <n v="1.9003306278348491E-4"/>
    <n v="1.5826191009962084E-4"/>
    <n v="3.8555926878850388E-4"/>
    <n v="4.9616444986165346E-4"/>
    <n v="-4.2459770149072151E-2"/>
    <n v="2.8371342420279767E-4"/>
    <n v="4.5845476396553543E-4"/>
    <n v="2.8579191082701231E-4"/>
    <m/>
    <n v="6644.5399999999991"/>
    <n v="6723.01"/>
    <n v="6644.1639999999989"/>
    <n v="6722.9410000000007"/>
    <n v="6722.44"/>
    <n v="7011.3530000000001"/>
    <n v="6722.44"/>
    <n v="6722.44"/>
    <n v="6722.4610000000002"/>
    <n v="0.98647053670978524"/>
    <n v="0.99831016617689194"/>
    <n v="0.98657085108493381"/>
    <n v="0.99849518934370696"/>
    <n v="0.99853126585632779"/>
    <n v="0.99853140245226724"/>
    <n v="0.9983190666609838"/>
    <n v="0.99849359428522355"/>
    <n v="0.99832426086820936"/>
  </r>
  <r>
    <x v="2"/>
    <x v="9"/>
    <x v="9"/>
    <x v="2"/>
    <n v="3576.85"/>
    <n v="3574.86"/>
    <n v="3488.0219999999999"/>
    <n v="3536.090999999999"/>
    <n v="3406.3629999999998"/>
    <n v="4234.1079999999993"/>
    <n v="3524.6320000000001"/>
    <n v="3406.5050000000001"/>
    <n v="3574.8290000000002"/>
    <n v="5.5635545242316059E-4"/>
    <n v="2.4834141772788899E-2"/>
    <n v="1.139522205292392E-2"/>
    <n v="4.7664006038833077E-2"/>
    <n v="-0.18375330248682484"/>
    <n v="1.4598878901826984E-2"/>
    <n v="4.7624306303031945E-2"/>
    <n v="5.650222961543623E-4"/>
    <m/>
    <n v="3525.11"/>
    <n v="3566.33"/>
    <n v="3437.2310000000002"/>
    <n v="3528.3110000000001"/>
    <n v="3398.34"/>
    <n v="4225.9920000000002"/>
    <n v="3516.462"/>
    <n v="3398.331000000001"/>
    <n v="3566.33"/>
    <n v="0.98553475823699632"/>
    <n v="0.99761389257201671"/>
    <n v="0.9854384519363697"/>
    <n v="0.99779983037766873"/>
    <n v="0.997644701988602"/>
    <n v="0.99808318540764684"/>
    <n v="0.99768202751379431"/>
    <n v="0.99760047321228085"/>
    <n v="0.9976225436237649"/>
  </r>
  <r>
    <x v="2"/>
    <x v="9"/>
    <x v="9"/>
    <x v="3"/>
    <n v="2045.15"/>
    <n v="2045.5"/>
    <n v="1967.9659999999999"/>
    <n v="1994.106"/>
    <n v="1752.423"/>
    <n v="2763.7919999999999"/>
    <n v="2006.3630000000001"/>
    <n v="1751.9860000000001"/>
    <n v="2045.5"/>
    <n v="-1.7113659144801557E-4"/>
    <n v="3.7740019069505998E-2"/>
    <n v="2.4958560496785125E-2"/>
    <n v="0.14313228858518939"/>
    <n v="-0.35138840671833349"/>
    <n v="1.8965357064274029E-2"/>
    <n v="0.1433459648436545"/>
    <n v="-1.7113659144801557E-4"/>
    <m/>
    <n v="2011.4"/>
    <n v="2040.15"/>
    <n v="1938.145"/>
    <n v="1989.085"/>
    <n v="1746.9159999999999"/>
    <n v="2757.7750000000001"/>
    <n v="2001.078"/>
    <n v="1745.84"/>
    <n v="2040.15"/>
    <n v="0.98349754296750846"/>
    <n v="0.99738450256660971"/>
    <n v="0.98484679105228445"/>
    <n v="0.99748207968884306"/>
    <n v="0.99685749388132883"/>
    <n v="0.99782291865668626"/>
    <n v="0.997365880451344"/>
    <n v="0.99649198110030546"/>
    <n v="0.99738450256660971"/>
  </r>
  <r>
    <x v="2"/>
    <x v="9"/>
    <x v="9"/>
    <x v="4"/>
    <n v="1283.18"/>
    <n v="1283.97"/>
    <n v="1236.845"/>
    <n v="1229.748"/>
    <n v="948.72569999999996"/>
    <n v="1872.0450000000001"/>
    <n v="1258.3130000000001"/>
    <n v="951.2095999999998"/>
    <n v="1283.97"/>
    <n v="-6.1565797471902894E-4"/>
    <n v="3.6109509188110817E-2"/>
    <n v="4.1640299879985673E-2"/>
    <n v="0.26064488224567101"/>
    <n v="-0.45891067504169325"/>
    <n v="1.9379198553593387E-2"/>
    <n v="0.25870914446920951"/>
    <n v="-6.1565797471902894E-4"/>
    <m/>
    <n v="1260.33"/>
    <n v="1278.95"/>
    <n v="1214.5309999999999"/>
    <n v="1225.729"/>
    <n v="944.81359999999984"/>
    <n v="1866.9"/>
    <n v="1253.7090000000001"/>
    <n v="946.68349999999987"/>
    <n v="1278.95"/>
    <n v="0.98219267756667017"/>
    <n v="0.99609025132985973"/>
    <n v="0.98195893584078842"/>
    <n v="0.9967318507531624"/>
    <n v="0.99587646882549918"/>
    <n v="0.99725166862976056"/>
    <n v="0.99634113292956517"/>
    <n v="0.9952417427242114"/>
    <n v="0.99609025132985973"/>
  </r>
  <r>
    <x v="2"/>
    <x v="10"/>
    <x v="10"/>
    <x v="0"/>
    <n v="2618.63"/>
    <n v="2618.63"/>
    <n v="2618.63"/>
    <n v="2618.63"/>
    <n v="2618.63"/>
    <n v="2618.63"/>
    <n v="2618.63"/>
    <n v="2618.63"/>
    <n v="2618.63"/>
    <n v="0"/>
    <n v="0"/>
    <n v="0"/>
    <n v="0"/>
    <n v="0"/>
    <n v="0"/>
    <n v="0"/>
    <n v="0"/>
    <m/>
    <n v="2578.349999999999"/>
    <n v="2618.44"/>
    <n v="2578.34"/>
    <n v="2618.44"/>
    <n v="2618.44"/>
    <n v="2618.44"/>
    <n v="2618.44"/>
    <n v="2618.44"/>
    <n v="2618.44"/>
    <n v="0.98461791089233641"/>
    <n v="0.99992744297590719"/>
    <n v="0.98461409210159512"/>
    <n v="0.99992744297590719"/>
    <n v="0.99992744297590719"/>
    <n v="0.99992744297590719"/>
    <n v="0.99992744297590719"/>
    <n v="0.99992744297590719"/>
    <n v="0.99992744297590719"/>
  </r>
  <r>
    <x v="2"/>
    <x v="10"/>
    <x v="10"/>
    <x v="1"/>
    <n v="1359.85"/>
    <n v="1360.77"/>
    <n v="1339.873"/>
    <n v="1340.0630000000001"/>
    <n v="1339.8510000000001"/>
    <n v="1343.2349999999999"/>
    <n v="1340.028"/>
    <n v="1339.732"/>
    <n v="1341.03"/>
    <n v="-6.7654520719202327E-4"/>
    <n v="1.4690590873993355E-2"/>
    <n v="1.4550869581203668E-2"/>
    <n v="1.4706769128947897E-2"/>
    <n v="1.2218259366841939E-2"/>
    <n v="1.4576607714086032E-2"/>
    <n v="1.4794278780747832E-2"/>
    <n v="1.3839761738426987E-2"/>
    <m/>
    <n v="1331.93"/>
    <n v="1357.29"/>
    <n v="1311.6"/>
    <n v="1336.72"/>
    <n v="1336.72"/>
    <n v="1340.434"/>
    <n v="1336.72"/>
    <n v="1336.72"/>
    <n v="1338.2940000000001"/>
    <n v="0.97946832371217429"/>
    <n v="0.99744262439648135"/>
    <n v="0.97889874637372343"/>
    <n v="0.99750534116679579"/>
    <n v="0.99766317299460905"/>
    <n v="0.99791473569405209"/>
    <n v="0.99753139486637599"/>
    <n v="0.99775178916380292"/>
    <n v="0.99795977718619278"/>
  </r>
  <r>
    <x v="2"/>
    <x v="10"/>
    <x v="10"/>
    <x v="2"/>
    <n v="724.50800000000004"/>
    <n v="724.42899999999997"/>
    <n v="699.30660000000012"/>
    <n v="699.05719999999997"/>
    <n v="698.6656999999999"/>
    <n v="767.23659999999995"/>
    <n v="699.65949999999998"/>
    <n v="698.67620000000011"/>
    <n v="721.38750000000005"/>
    <n v="1.0903951371146291E-4"/>
    <n v="3.4784156972731732E-2"/>
    <n v="3.5128390576777718E-2"/>
    <n v="3.5668757280803161E-2"/>
    <n v="-5.8976022348959448E-2"/>
    <n v="3.4297067803254151E-2"/>
    <n v="3.5654264687208323E-2"/>
    <n v="4.3070607915992546E-3"/>
    <m/>
    <n v="704.96500000000003"/>
    <n v="722.35199999999998"/>
    <n v="678.52369999999996"/>
    <n v="696.15370000000007"/>
    <n v="695.86509999999998"/>
    <n v="764.21879999999999"/>
    <n v="696.55899999999997"/>
    <n v="695.86750000000006"/>
    <n v="719.03179999999998"/>
    <n v="0.97302583270302057"/>
    <n v="0.99713291433667073"/>
    <n v="0.97028070377142139"/>
    <n v="0.99584654875166168"/>
    <n v="0.99599150208747911"/>
    <n v="0.9960666631388545"/>
    <n v="0.99556855870605632"/>
    <n v="0.99597996897561414"/>
    <n v="0.99673448735942882"/>
  </r>
  <r>
    <x v="2"/>
    <x v="10"/>
    <x v="10"/>
    <x v="3"/>
    <n v="408.60199999999998"/>
    <n v="408.154"/>
    <n v="382.9554"/>
    <n v="383.94929999999988"/>
    <n v="378.92129999999997"/>
    <n v="470.97649999999999"/>
    <n v="379.72050000000002"/>
    <n v="378.69920000000002"/>
    <n v="403.2996"/>
    <n v="1.096421456576275E-3"/>
    <n v="6.276670207194282E-2"/>
    <n v="6.0334261702096652E-2"/>
    <n v="7.2639634656707516E-2"/>
    <n v="-0.15265343781968765"/>
    <n v="7.0683697093993567E-2"/>
    <n v="7.3183195383282412E-2"/>
    <n v="1.2976931096764033E-2"/>
    <m/>
    <n v="391.411"/>
    <n v="405.755"/>
    <n v="366.28120000000001"/>
    <n v="381.1397"/>
    <n v="375.78640000000001"/>
    <n v="467.84939999999989"/>
    <n v="376.6524"/>
    <n v="375.65010000000001"/>
    <n v="400.09829999999999"/>
    <n v="0.95792727397320632"/>
    <n v="0.99412231657658634"/>
    <n v="0.95645915947392313"/>
    <n v="0.99268236717712499"/>
    <n v="0.99172677809349863"/>
    <n v="0.9933603905927364"/>
    <n v="0.99192010965960487"/>
    <n v="0.99194849104513549"/>
    <n v="0.99206222867565452"/>
  </r>
  <r>
    <x v="2"/>
    <x v="10"/>
    <x v="10"/>
    <x v="4"/>
    <n v="227.637"/>
    <n v="226.892"/>
    <n v="235.03649999999999"/>
    <n v="233.57050000000001"/>
    <n v="220.31469999999999"/>
    <n v="312.94330000000002"/>
    <n v="226.81790000000001"/>
    <n v="220.1815"/>
    <n v="226.892"/>
    <n v="3.2727544292008967E-3"/>
    <n v="-3.2505699864257519E-2"/>
    <n v="-2.6065622021024741E-2"/>
    <n v="3.2166563432131035E-2"/>
    <n v="-0.37474707538756891"/>
    <n v="3.59827268853478E-3"/>
    <n v="3.2751705566318311E-2"/>
    <n v="3.2727544292008967E-3"/>
    <m/>
    <n v="211.2"/>
    <n v="222.87899999999999"/>
    <n v="219.21940000000001"/>
    <n v="229.4983"/>
    <n v="216.22069999999999"/>
    <n v="308.57170000000002"/>
    <n v="222.5429"/>
    <n v="215.9907"/>
    <n v="222.87899999999999"/>
    <n v="0.92779293348620828"/>
    <n v="0.98231317102409954"/>
    <n v="0.93270364390211735"/>
    <n v="0.98256543527543072"/>
    <n v="0.98141749052605209"/>
    <n v="0.98603069629546314"/>
    <n v="0.98115228119121112"/>
    <n v="0.98096661163630916"/>
    <n v="0.98231317102409954"/>
  </r>
  <r>
    <x v="2"/>
    <x v="11"/>
    <x v="11"/>
    <x v="0"/>
    <n v="11907.7"/>
    <n v="11907.7"/>
    <n v="11907.7"/>
    <n v="11907.7"/>
    <n v="11907.7"/>
    <n v="11907.7"/>
    <n v="11907.7"/>
    <n v="11907.7"/>
    <n v="11907.7"/>
    <n v="0"/>
    <n v="0"/>
    <n v="0"/>
    <n v="0"/>
    <n v="0"/>
    <n v="0"/>
    <n v="0"/>
    <n v="0"/>
    <m/>
    <n v="11626.7"/>
    <n v="11906.4"/>
    <n v="11626.7"/>
    <n v="11906.4"/>
    <n v="11906.4"/>
    <n v="11906.4"/>
    <n v="11906.4"/>
    <n v="11906.4"/>
    <n v="11906.4"/>
    <n v="0.97640182402982945"/>
    <n v="0.99989082694391018"/>
    <n v="0.97640182402982945"/>
    <n v="0.99989082694391018"/>
    <n v="0.99989082694391018"/>
    <n v="0.99989082694391018"/>
    <n v="0.99989082694391018"/>
    <n v="0.99989082694391018"/>
    <n v="0.99989082694391018"/>
  </r>
  <r>
    <x v="2"/>
    <x v="11"/>
    <x v="11"/>
    <x v="1"/>
    <n v="6037.6900000000014"/>
    <n v="6022.3799999999992"/>
    <n v="6026.1080000000002"/>
    <n v="6023.05"/>
    <n v="6022.17"/>
    <n v="6314.2800000000007"/>
    <n v="6022.585"/>
    <n v="6022.6220000000003"/>
    <n v="6022.3799999999992"/>
    <n v="2.535738005760848E-3"/>
    <n v="1.9182833169641437E-3"/>
    <n v="2.424768413085341E-3"/>
    <n v="2.5705195198828263E-3"/>
    <n v="-4.5810566623990162E-2"/>
    <n v="2.5017846229272089E-3"/>
    <n v="2.4956564513913628E-3"/>
    <n v="2.535738005760848E-3"/>
    <m/>
    <n v="5871.0200000000013"/>
    <n v="6005.54"/>
    <n v="5860.2370000000001"/>
    <n v="6004.7299999999987"/>
    <n v="6004.7299999999987"/>
    <n v="6295.68"/>
    <n v="6004.7299999999987"/>
    <n v="6004.7299999999987"/>
    <n v="6005.54"/>
    <n v="0.9723950716250751"/>
    <n v="0.9972037632962385"/>
    <n v="0.97247460549993459"/>
    <n v="0.99695835166568403"/>
    <n v="0.9971040339279692"/>
    <n v="0.99705429597673834"/>
    <n v="0.99703532619298829"/>
    <n v="0.99702920090286229"/>
    <n v="0.9972037632962385"/>
  </r>
  <r>
    <x v="2"/>
    <x v="11"/>
    <x v="11"/>
    <x v="2"/>
    <n v="3083.43"/>
    <n v="3081.099999999999"/>
    <n v="3078.2"/>
    <n v="3076.424"/>
    <n v="3068.7080000000001"/>
    <n v="3787.6120000000001"/>
    <n v="3070.183"/>
    <n v="3068.665"/>
    <n v="3081.099999999999"/>
    <n v="7.5565198496506706E-4"/>
    <n v="1.6961630392128306E-3"/>
    <n v="2.272144981400537E-3"/>
    <n v="4.7745530140135351E-3"/>
    <n v="-0.22837619144913304"/>
    <n v="4.2961896329736186E-3"/>
    <n v="4.7884985227489756E-3"/>
    <n v="7.5565198496506706E-4"/>
    <m/>
    <n v="2985.79"/>
    <n v="3069.23"/>
    <n v="2981.078"/>
    <n v="3061.665"/>
    <n v="3053.9290000000001"/>
    <n v="3773.0030000000002"/>
    <n v="3056.6619999999989"/>
    <n v="3053.9450000000011"/>
    <n v="3069.23"/>
    <n v="0.96833396574593877"/>
    <n v="0.99614747979617702"/>
    <n v="0.96844844389578333"/>
    <n v="0.99520254685309961"/>
    <n v="0.99518396667261921"/>
    <n v="0.99614295234041927"/>
    <n v="0.99559602798921076"/>
    <n v="0.99520312578922787"/>
    <n v="0.99614747979617702"/>
  </r>
  <r>
    <x v="2"/>
    <x v="11"/>
    <x v="11"/>
    <x v="3"/>
    <n v="1617.09"/>
    <n v="1614.33"/>
    <n v="1627.9"/>
    <n v="1629.85"/>
    <n v="1605.8050000000001"/>
    <n v="2366.7710000000002"/>
    <n v="1607.211"/>
    <n v="1603.249"/>
    <n v="1614.33"/>
    <n v="1.7067695675565312E-3"/>
    <n v="-6.6848474729298765E-3"/>
    <n v="-7.8907172760947081E-3"/>
    <n v="6.9785849890852429E-3"/>
    <n v="-0.46359881020846105"/>
    <n v="6.1091219412648069E-3"/>
    <n v="8.5592020233876253E-3"/>
    <n v="1.7067695675565312E-3"/>
    <m/>
    <n v="1557.36"/>
    <n v="1606.84"/>
    <n v="1569.7"/>
    <n v="1620.4059999999999"/>
    <n v="1595.6489999999999"/>
    <n v="2356.5410000000002"/>
    <n v="1597.499"/>
    <n v="1593.2260000000001"/>
    <n v="1606.84"/>
    <n v="0.96306328033690147"/>
    <n v="0.99536030427483846"/>
    <n v="0.96424841820750662"/>
    <n v="0.99420560174249162"/>
    <n v="0.99367544627149607"/>
    <n v="0.99567765533716612"/>
    <n v="0.99395723399105651"/>
    <n v="0.99374831981806944"/>
    <n v="0.99536030427483846"/>
  </r>
  <r>
    <x v="2"/>
    <x v="11"/>
    <x v="11"/>
    <x v="4"/>
    <n v="900.63800000000015"/>
    <n v="896.68799999999987"/>
    <n v="923.80799999999999"/>
    <n v="924.8517999999998"/>
    <n v="889.75710000000004"/>
    <n v="1510.971"/>
    <n v="892.87739999999997"/>
    <n v="886.01059999999995"/>
    <n v="896.68799999999987"/>
    <n v="4.3857798582785448E-3"/>
    <n v="-2.5726207421849667E-2"/>
    <n v="-2.6885163628449664E-2"/>
    <n v="1.2081324572136763E-2"/>
    <n v="-0.67766738689684392"/>
    <n v="8.6167805488999803E-3"/>
    <n v="1.6241153493412659E-2"/>
    <n v="4.3857798582785448E-3"/>
    <m/>
    <n v="857.93600000000004"/>
    <n v="891.54300000000001"/>
    <n v="885.39779999999996"/>
    <n v="919.05020000000002"/>
    <n v="881.61019999999985"/>
    <n v="1504.2909999999999"/>
    <n v="886.36329999999998"/>
    <n v="877.24950000000013"/>
    <n v="891.54300000000001"/>
    <n v="0.95258694392197518"/>
    <n v="0.99426221829666517"/>
    <n v="0.95842187987114202"/>
    <n v="0.99372699496286887"/>
    <n v="0.99084368082030461"/>
    <n v="0.99557900184715653"/>
    <n v="0.99270437352317353"/>
    <n v="0.99011174358410625"/>
    <n v="0.99426221829666517"/>
  </r>
  <r>
    <x v="3"/>
    <x v="12"/>
    <x v="12"/>
    <x v="0"/>
    <n v="228.483"/>
    <n v="228.483"/>
    <n v="228.483"/>
    <n v="228.483"/>
    <n v="228.483"/>
    <n v="228.483"/>
    <n v="228.483"/>
    <n v="228.483"/>
    <n v="228.483"/>
    <n v="0"/>
    <n v="0"/>
    <n v="0"/>
    <n v="0"/>
    <n v="0"/>
    <n v="0"/>
    <n v="0"/>
    <n v="0"/>
    <m/>
    <n v="221.726"/>
    <n v="228.404"/>
    <n v="221.726"/>
    <n v="228.404"/>
    <n v="228.404"/>
    <n v="228.404"/>
    <n v="228.404"/>
    <n v="228.404"/>
    <n v="228.404"/>
    <n v="0.9704266838233041"/>
    <n v="0.99965424123457758"/>
    <n v="0.9704266838233041"/>
    <n v="0.99965424123457758"/>
    <n v="0.99965424123457758"/>
    <n v="0.99965424123457758"/>
    <n v="0.99965424123457758"/>
    <n v="0.99965424123457758"/>
    <n v="0.99965424123457758"/>
  </r>
  <r>
    <x v="3"/>
    <x v="12"/>
    <x v="12"/>
    <x v="1"/>
    <n v="116.962"/>
    <n v="116.63200000000001"/>
    <n v="116.2467"/>
    <n v="115.9863"/>
    <n v="116.0826"/>
    <n v="116.12390000000001"/>
    <n v="116.1078"/>
    <n v="116.0063"/>
    <n v="116.1952"/>
    <n v="2.8214291821275139E-3"/>
    <n v="6.1156614968964204E-3"/>
    <n v="8.3420256151570879E-3"/>
    <n v="7.5186812810998779E-3"/>
    <n v="7.1655751440638593E-3"/>
    <n v="7.3032266890101557E-3"/>
    <n v="8.1710299071493936E-3"/>
    <n v="6.55597544501636E-3"/>
    <m/>
    <n v="111.035"/>
    <n v="114.508"/>
    <n v="110.8634"/>
    <n v="114.2025"/>
    <n v="114.20229999999999"/>
    <n v="114.26090000000001"/>
    <n v="114.2025"/>
    <n v="114.202"/>
    <n v="114.26560000000001"/>
    <n v="0.9493254219319095"/>
    <n v="0.98178887440839557"/>
    <n v="0.95369072842497893"/>
    <n v="0.98462059743262786"/>
    <n v="0.98380205129795506"/>
    <n v="0.98395679097929023"/>
    <n v="0.98359024975066278"/>
    <n v="0.98444653436925411"/>
    <n v="0.98339346203629763"/>
  </r>
  <r>
    <x v="3"/>
    <x v="12"/>
    <x v="12"/>
    <x v="2"/>
    <n v="59.432200000000002"/>
    <n v="59.269899999999993"/>
    <n v="60.326199999999993"/>
    <n v="59.535170000000008"/>
    <n v="59.299460000000003"/>
    <n v="59.744190000000003"/>
    <n v="59.40757"/>
    <n v="59.199069999999992"/>
    <n v="59.322000000000003"/>
    <n v="2.7308428764206776E-3"/>
    <n v="-1.5042350779543601E-2"/>
    <n v="-1.7325624829638852E-3"/>
    <n v="2.2334693987434134E-3"/>
    <n v="-5.249511207729169E-3"/>
    <n v="4.1442181174518067E-4"/>
    <n v="3.922621070732866E-3"/>
    <n v="1.8542137090667846E-3"/>
    <m/>
    <n v="55.887999999999998"/>
    <n v="57.8202"/>
    <n v="56.043780000000012"/>
    <n v="57.678019999999989"/>
    <n v="57.385689999999997"/>
    <n v="58.020740000000004"/>
    <n v="57.617400000000004"/>
    <n v="57.377429999999997"/>
    <n v="57.819100000000013"/>
    <n v="0.9403656603659295"/>
    <n v="0.97554070447225327"/>
    <n v="0.92901226995898989"/>
    <n v="0.96880583359382333"/>
    <n v="0.96772702483294104"/>
    <n v="0.97115284348151676"/>
    <n v="0.9698662981838847"/>
    <n v="0.96922857065153223"/>
    <n v="0.97466538552307758"/>
  </r>
  <r>
    <x v="3"/>
    <x v="12"/>
    <x v="12"/>
    <x v="3"/>
    <n v="37.864500000000007"/>
    <n v="37.940899999999999"/>
    <n v="38.632770000000001"/>
    <n v="39.063029999999998"/>
    <n v="38.113959999999992"/>
    <n v="39.060049999999997"/>
    <n v="37.947159999999997"/>
    <n v="37.993989999999997"/>
    <n v="37.940899999999999"/>
    <n v="-2.017721084392834E-3"/>
    <n v="-2.0289981380976742E-2"/>
    <n v="-3.1653131561224651E-2"/>
    <n v="-6.5882290800085798E-3"/>
    <n v="-3.1574429874948566E-2"/>
    <n v="-2.183047445496176E-3"/>
    <n v="-3.4198259583512226E-3"/>
    <n v="-2.017721084392834E-3"/>
    <m/>
    <n v="36.177300000000002"/>
    <n v="36.990499999999997"/>
    <n v="36.741869999999992"/>
    <n v="37.953319999999998"/>
    <n v="37.04585999999999"/>
    <n v="37.664600000000007"/>
    <n v="36.990499999999997"/>
    <n v="36.990499999999997"/>
    <n v="36.990499999999997"/>
    <n v="0.95544111238759255"/>
    <n v="0.97495051514328857"/>
    <n v="0.95105450631678734"/>
    <n v="0.97159180944232948"/>
    <n v="0.97197614732239834"/>
    <n v="0.96427423928028788"/>
    <n v="0.97478968123042675"/>
    <n v="0.97358819118497431"/>
    <n v="0.97495051514328857"/>
  </r>
  <r>
    <x v="3"/>
    <x v="12"/>
    <x v="12"/>
    <x v="4"/>
    <n v="23.310300000000009"/>
    <n v="22.930800000000001"/>
    <n v="23.0138"/>
    <n v="23.179400000000001"/>
    <n v="23.21283"/>
    <n v="23.201789999999999"/>
    <n v="23.13551"/>
    <n v="23.21283"/>
    <n v="23.19285"/>
    <n v="1.6280356752165659E-2"/>
    <n v="1.2719699017173042E-2"/>
    <n v="5.6155433435008352E-3"/>
    <n v="4.181413366623696E-3"/>
    <n v="4.6550237448685612E-3"/>
    <n v="7.4984019939687008E-3"/>
    <n v="4.181413366623696E-3"/>
    <n v="5.0385451924689377E-3"/>
    <m/>
    <n v="21.4465"/>
    <n v="22.201699999999999"/>
    <n v="21.41112"/>
    <n v="22.201699999999999"/>
    <n v="22.201699999999999"/>
    <n v="22.201699999999999"/>
    <n v="22.201699999999999"/>
    <n v="22.201699999999999"/>
    <n v="22.201699999999999"/>
    <n v="0.92004392907856147"/>
    <n v="0.96820433652554627"/>
    <n v="0.93036004484265966"/>
    <n v="0.95782030596132761"/>
    <n v="0.95644089927854548"/>
    <n v="0.95689599811049064"/>
    <n v="0.95963737129633186"/>
    <n v="0.95644089927854548"/>
    <n v="0.95726484670922285"/>
  </r>
  <r>
    <x v="3"/>
    <x v="13"/>
    <x v="13"/>
    <x v="0"/>
    <n v="377.39199999999988"/>
    <n v="377.39199999999988"/>
    <n v="377.39199999999988"/>
    <n v="377.39199999999988"/>
    <n v="377.39199999999988"/>
    <n v="377.39199999999988"/>
    <n v="377.39199999999988"/>
    <n v="377.39199999999988"/>
    <n v="377.39199999999988"/>
    <n v="0"/>
    <n v="0"/>
    <n v="0"/>
    <n v="0"/>
    <n v="0"/>
    <n v="0"/>
    <n v="0"/>
    <n v="0"/>
    <m/>
    <n v="362.63299999999992"/>
    <n v="377.21899999999999"/>
    <n v="362.63299999999992"/>
    <n v="377.21899999999999"/>
    <n v="377.21899999999999"/>
    <n v="377.21899999999999"/>
    <n v="377.21899999999999"/>
    <n v="377.21899999999999"/>
    <n v="377.21899999999999"/>
    <n v="0.96089212277949732"/>
    <n v="0.99954159070674553"/>
    <n v="0.96089212277949732"/>
    <n v="0.99954159070674553"/>
    <n v="0.99954159070674553"/>
    <n v="0.99954159070674553"/>
    <n v="0.99954159070674553"/>
    <n v="0.99954159070674553"/>
    <n v="0.99954159070674553"/>
  </r>
  <r>
    <x v="3"/>
    <x v="13"/>
    <x v="13"/>
    <x v="1"/>
    <n v="194.62200000000001"/>
    <n v="194.16200000000001"/>
    <n v="196.39869999999999"/>
    <n v="193.60550000000001"/>
    <n v="193.47569999999999"/>
    <n v="193.65530000000001"/>
    <n v="193.24279999999999"/>
    <n v="193.6499"/>
    <n v="193.89099999999999"/>
    <n v="2.3635560214159135E-3"/>
    <n v="-9.1289782244554918E-3"/>
    <n v="5.2229449908027239E-3"/>
    <n v="5.8898788420632042E-3"/>
    <n v="4.9670643606581112E-3"/>
    <n v="7.0865575320365921E-3"/>
    <n v="4.9948104530834732E-3"/>
    <n v="3.7559988079457767E-3"/>
    <m/>
    <n v="186.27799999999999"/>
    <n v="191.55699999999999"/>
    <n v="182.14359999999999"/>
    <n v="188.66220000000001"/>
    <n v="188.62010000000001"/>
    <n v="190.8784"/>
    <n v="188.62479999999999"/>
    <n v="188.60900000000001"/>
    <n v="191.02099999999999"/>
    <n v="0.95712714903762153"/>
    <n v="0.9865833685273121"/>
    <n v="0.92741754400614673"/>
    <n v="0.97446715098486358"/>
    <n v="0.97490330827075455"/>
    <n v="0.98566060417659618"/>
    <n v="0.97610260252904635"/>
    <n v="0.97396900282416876"/>
    <n v="0.98519786890572536"/>
  </r>
  <r>
    <x v="3"/>
    <x v="13"/>
    <x v="13"/>
    <x v="2"/>
    <n v="106.46299999999999"/>
    <n v="106.29600000000001"/>
    <n v="103.5367"/>
    <n v="104.45820000000001"/>
    <n v="102.3755"/>
    <n v="106.41"/>
    <n v="103.9008"/>
    <n v="102.0908"/>
    <n v="106.2568"/>
    <n v="1.5686200839727172E-3"/>
    <n v="2.748654462113596E-2"/>
    <n v="1.8830955355381578E-2"/>
    <n v="3.8393620318796125E-2"/>
    <n v="4.9782553563207192E-4"/>
    <n v="2.4066577120689724E-2"/>
    <n v="4.1067788809257606E-2"/>
    <n v="1.9368231216478542E-3"/>
    <m/>
    <n v="100.715"/>
    <n v="103.46"/>
    <n v="99.35378"/>
    <n v="102.4272"/>
    <n v="100.5027"/>
    <n v="103.76949999999999"/>
    <n v="101.40649999999999"/>
    <n v="100.40309999999999"/>
    <n v="103.4413"/>
    <n v="0.9460094117205039"/>
    <n v="0.9733197862572438"/>
    <n v="0.95959963954810235"/>
    <n v="0.9805568160278465"/>
    <n v="0.98170656065171846"/>
    <n v="0.97518560285687428"/>
    <n v="0.97599344759616857"/>
    <n v="0.98346863772249793"/>
    <n v="0.97350287228676191"/>
  </r>
  <r>
    <x v="3"/>
    <x v="13"/>
    <x v="13"/>
    <x v="3"/>
    <n v="59.729500000000009"/>
    <n v="58.309699999999999"/>
    <n v="58.03043000000001"/>
    <n v="57.543089999999992"/>
    <n v="55.758189999999999"/>
    <n v="59.017330000000001"/>
    <n v="56.882809999999992"/>
    <n v="56.033459999999991"/>
    <n v="58.309699999999999"/>
    <n v="2.3770498664814021E-2"/>
    <n v="2.8446077733783118E-2"/>
    <n v="3.6605195087854682E-2"/>
    <n v="6.6488251199156342E-2"/>
    <n v="1.1923254003465748E-2"/>
    <n v="4.765969914363951E-2"/>
    <n v="6.1879640713550545E-2"/>
    <n v="2.3770498664814021E-2"/>
    <m/>
    <n v="52.270099999999999"/>
    <n v="54.48810000000001"/>
    <n v="52.871940000000009"/>
    <n v="55.023249999999997"/>
    <n v="53.674969999999988"/>
    <n v="55.924430000000008"/>
    <n v="54.203040000000009"/>
    <n v="53.634839999999997"/>
    <n v="54.48810000000001"/>
    <n v="0.87511363731489455"/>
    <n v="0.93446030420324599"/>
    <n v="0.91110715533212494"/>
    <n v="0.95620951186319691"/>
    <n v="0.96263831376161935"/>
    <n v="0.9475933594420487"/>
    <n v="0.95288963396850501"/>
    <n v="0.95719307713641111"/>
    <n v="0.93446030420324599"/>
  </r>
  <r>
    <x v="3"/>
    <x v="13"/>
    <x v="13"/>
    <x v="4"/>
    <n v="39.595300000000002"/>
    <n v="39.161000000000001"/>
    <n v="39.482219999999998"/>
    <n v="39.656840000000003"/>
    <n v="38.979780000000012"/>
    <n v="40.307510000000001"/>
    <n v="39.10277"/>
    <n v="38.94849"/>
    <n v="39.161000000000001"/>
    <n v="1.0968473530949388E-2"/>
    <n v="2.8558945127326631E-3"/>
    <n v="-1.5542248701234948E-3"/>
    <n v="1.5545279363964647E-2"/>
    <n v="-1.7987235858801395E-2"/>
    <n v="1.2439102620765649E-2"/>
    <n v="1.6335524670857453E-2"/>
    <n v="1.0968473530949388E-2"/>
    <m/>
    <n v="35.53609999999999"/>
    <n v="36.997100000000003"/>
    <n v="35.783299999999997"/>
    <n v="37.567489999999999"/>
    <n v="36.950740000000003"/>
    <n v="37.850160000000002"/>
    <n v="36.997100000000003"/>
    <n v="36.923200000000001"/>
    <n v="36.997100000000003"/>
    <n v="0.89748278204736398"/>
    <n v="0.9447434948035035"/>
    <n v="0.90631428526562074"/>
    <n v="0.94731425902820288"/>
    <n v="0.94794634551554657"/>
    <n v="0.9390349341847215"/>
    <n v="0.94615036223776483"/>
    <n v="0.94800080824699495"/>
    <n v="0.9447434948035035"/>
  </r>
  <r>
    <x v="3"/>
    <x v="14"/>
    <x v="14"/>
    <x v="0"/>
    <n v="37965.199999999997"/>
    <n v="37965.199999999997"/>
    <n v="37965.199999999997"/>
    <n v="37965.199999999997"/>
    <n v="37965.199999999997"/>
    <n v="37965.199999999997"/>
    <n v="37965.199999999997"/>
    <n v="37965.199999999997"/>
    <n v="37965.199999999997"/>
    <n v="0"/>
    <n v="0"/>
    <n v="0"/>
    <n v="0"/>
    <n v="0"/>
    <n v="0"/>
    <n v="0"/>
    <n v="0"/>
    <m/>
    <n v="37089.300000000003"/>
    <n v="37964.699999999997"/>
    <n v="37089.300000000003"/>
    <n v="37964.699999999997"/>
    <n v="37964.699999999997"/>
    <n v="37964.699999999997"/>
    <n v="37964.699999999997"/>
    <n v="37964.699999999997"/>
    <n v="37964.699999999997"/>
    <n v="0.97692887170356024"/>
    <n v="0.9999868300443564"/>
    <n v="0.97692887170356024"/>
    <n v="0.9999868300443564"/>
    <n v="0.9999868300443564"/>
    <n v="0.9999868300443564"/>
    <n v="0.9999868300443564"/>
    <n v="0.9999868300443564"/>
    <n v="0.9999868300443564"/>
  </r>
  <r>
    <x v="3"/>
    <x v="14"/>
    <x v="14"/>
    <x v="1"/>
    <n v="19280.400000000001"/>
    <n v="19210.900000000001"/>
    <n v="19198.310000000001"/>
    <n v="19118.45"/>
    <n v="19117.060000000001"/>
    <n v="19209.650000000001"/>
    <n v="19189.990000000002"/>
    <n v="19195.29"/>
    <n v="19209.79"/>
    <n v="3.6046969979875933E-3"/>
    <n v="4.2576917491338427E-3"/>
    <n v="8.3997219974689692E-3"/>
    <n v="8.4718159374286908E-3"/>
    <n v="3.669529677807514E-3"/>
    <n v="4.6892180660152204E-3"/>
    <n v="4.4143275035787941E-3"/>
    <n v="3.6622684176677131E-3"/>
    <m/>
    <n v="18545.5"/>
    <n v="18983.8"/>
    <n v="18545.400000000001"/>
    <n v="18982.810000000001"/>
    <n v="18982.71"/>
    <n v="18989.09"/>
    <n v="18982.400000000001"/>
    <n v="18982.400000000001"/>
    <n v="18983.8"/>
    <n v="0.9618835708802721"/>
    <n v="0.98817858611517406"/>
    <n v="0.96599127735722568"/>
    <n v="0.99290528259351574"/>
    <n v="0.99297224573234577"/>
    <n v="0.98851827076495402"/>
    <n v="0.98918238102260603"/>
    <n v="0.98890925846913491"/>
    <n v="0.98823568607465251"/>
  </r>
  <r>
    <x v="3"/>
    <x v="14"/>
    <x v="14"/>
    <x v="2"/>
    <n v="9836.0400000000027"/>
    <n v="9738.2400000000016"/>
    <n v="9777.7160000000003"/>
    <n v="9729.7859999999982"/>
    <n v="9663.9919999999984"/>
    <n v="9814.6810000000005"/>
    <n v="9725.4589999999989"/>
    <n v="9724.0850000000009"/>
    <n v="9738.2400000000016"/>
    <n v="9.9430258518673226E-3"/>
    <n v="5.9296220836843206E-3"/>
    <n v="1.0802518086547475E-2"/>
    <n v="1.7491592144806677E-2"/>
    <n v="2.1715039792439021E-3"/>
    <n v="1.124243089698738E-2"/>
    <n v="1.1382121260182117E-2"/>
    <n v="9.9430258518673226E-3"/>
    <m/>
    <n v="9282.27"/>
    <n v="9509.9699999999993"/>
    <n v="9387.0779999999995"/>
    <n v="9576.134"/>
    <n v="9507.5310000000009"/>
    <n v="9632.9069999999992"/>
    <n v="9508.121000000001"/>
    <n v="9507.5220000000008"/>
    <n v="9509.9699999999993"/>
    <n v="0.9436999036197492"/>
    <n v="0.9765594193611985"/>
    <n v="0.9600481339404825"/>
    <n v="0.98420808021882511"/>
    <n v="0.98380989967706955"/>
    <n v="0.98147937767921334"/>
    <n v="0.97765267428509051"/>
    <n v="0.97772921565370929"/>
    <n v="0.9765594193611985"/>
  </r>
  <r>
    <x v="3"/>
    <x v="14"/>
    <x v="14"/>
    <x v="3"/>
    <n v="5073.3900000000003"/>
    <n v="4916.68"/>
    <n v="5097.5010000000002"/>
    <n v="5057.1270000000004"/>
    <n v="4894.8580000000002"/>
    <n v="5060.8940000000002"/>
    <n v="4917.1659999999993"/>
    <n v="4920.585"/>
    <n v="4916.68"/>
    <n v="3.0888616881414602E-2"/>
    <n v="-4.7524436323641344E-3"/>
    <n v="3.2055489524755476E-3"/>
    <n v="3.5189882898811274E-2"/>
    <n v="2.4630473904036737E-3"/>
    <n v="3.0792822944816198E-2"/>
    <n v="3.011891457191351E-2"/>
    <n v="3.0888616881414602E-2"/>
    <m/>
    <n v="4653.6200000000008"/>
    <n v="4779.7700000000013"/>
    <n v="4877.0670000000009"/>
    <n v="4964.246000000001"/>
    <n v="4777.5680000000002"/>
    <n v="4945.9269999999997"/>
    <n v="4777.8969999999999"/>
    <n v="4777.058"/>
    <n v="4779.7700000000013"/>
    <n v="0.9172604510987723"/>
    <n v="0.97215397381973223"/>
    <n v="0.95675645772310802"/>
    <n v="0.98163364297554734"/>
    <n v="0.97603812000266399"/>
    <n v="0.97728326260142961"/>
    <n v="0.9716769781618112"/>
    <n v="0.97083131375639276"/>
    <n v="0.97215397381973223"/>
  </r>
  <r>
    <x v="3"/>
    <x v="14"/>
    <x v="14"/>
    <x v="4"/>
    <n v="2592.14"/>
    <n v="2516.48"/>
    <n v="2755.6039999999998"/>
    <n v="2753.0079999999998"/>
    <n v="2502.078"/>
    <n v="2644.2640000000001"/>
    <n v="2498.8789999999999"/>
    <n v="2501.0430000000001"/>
    <n v="2516.48"/>
    <n v="2.91882382895985E-2"/>
    <n v="-6.306140872020799E-2"/>
    <n v="-6.2059919603107833E-2"/>
    <n v="3.4744265356037828E-2"/>
    <n v="-2.0108481794964876E-2"/>
    <n v="3.5978380797333467E-2"/>
    <n v="3.5143549345328477E-2"/>
    <n v="2.91882382895985E-2"/>
    <m/>
    <n v="2372.11"/>
    <n v="2436.96"/>
    <n v="2651.8389999999999"/>
    <n v="2710.549"/>
    <n v="2422.1799999999998"/>
    <n v="2582.5059999999999"/>
    <n v="2419.636"/>
    <n v="2412.2220000000002"/>
    <n v="2436.96"/>
    <n v="0.91511646747475073"/>
    <n v="0.96840030518819942"/>
    <n v="0.96234400879081328"/>
    <n v="0.98457723333895153"/>
    <n v="0.96806734242497627"/>
    <n v="0.97664454078715279"/>
    <n v="0.96828858059954082"/>
    <n v="0.96448641626713338"/>
    <n v="0.96840030518819942"/>
  </r>
  <r>
    <x v="3"/>
    <x v="15"/>
    <x v="15"/>
    <x v="0"/>
    <n v="38959.199999999997"/>
    <n v="38959.199999999997"/>
    <n v="38959.199999999997"/>
    <n v="38959.199999999997"/>
    <n v="38959.199999999997"/>
    <n v="38959.199999999997"/>
    <n v="38959.199999999997"/>
    <n v="38959.199999999997"/>
    <n v="38959.199999999997"/>
    <n v="0"/>
    <n v="0"/>
    <n v="0"/>
    <n v="0"/>
    <n v="0"/>
    <n v="0"/>
    <n v="0"/>
    <n v="0"/>
    <m/>
    <n v="36969.099999999991"/>
    <n v="38958.400000000009"/>
    <n v="36969.099999999991"/>
    <n v="38958.400000000009"/>
    <n v="38958.400000000009"/>
    <n v="38958.400000000009"/>
    <n v="38958.400000000009"/>
    <n v="38958.400000000009"/>
    <n v="38958.400000000009"/>
    <n v="0.94891835561305149"/>
    <n v="0.99997946569744789"/>
    <n v="0.94891835561305149"/>
    <n v="0.99997946569744789"/>
    <n v="0.99997946569744789"/>
    <n v="0.99997946569744789"/>
    <n v="0.99997946569744789"/>
    <n v="0.99997946569744789"/>
    <n v="0.99997946569744789"/>
  </r>
  <r>
    <x v="3"/>
    <x v="15"/>
    <x v="15"/>
    <x v="1"/>
    <n v="20242.3"/>
    <n v="20227.099999999999"/>
    <n v="20066.62"/>
    <n v="19924.28"/>
    <n v="19961.68"/>
    <n v="20140.599999999999"/>
    <n v="20085.16"/>
    <n v="20104.849999999999"/>
    <n v="20136.68"/>
    <n v="7.5090281242747752E-4"/>
    <n v="8.6788556636350767E-3"/>
    <n v="1.5710665290011534E-2"/>
    <n v="1.3863049159433413E-2"/>
    <n v="5.0241326331494311E-3"/>
    <n v="7.7629518384768241E-3"/>
    <n v="6.7902362873784464E-3"/>
    <n v="5.2177865163543164E-3"/>
    <m/>
    <n v="18587.8"/>
    <n v="19571.099999999999"/>
    <n v="18501.82"/>
    <n v="19483.740000000002"/>
    <n v="19479.240000000002"/>
    <n v="19504.52"/>
    <n v="19482.3"/>
    <n v="19479.22"/>
    <n v="19495.259999999998"/>
    <n v="0.91826521689728935"/>
    <n v="0.96756826238066751"/>
    <n v="0.92201975220540389"/>
    <n v="0.97788928884757709"/>
    <n v="0.9758316935247936"/>
    <n v="0.9684180213101895"/>
    <n v="0.96998480470158066"/>
    <n v="0.96888163801271843"/>
    <n v="0.96814668555094474"/>
  </r>
  <r>
    <x v="3"/>
    <x v="15"/>
    <x v="15"/>
    <x v="2"/>
    <n v="10623.3"/>
    <n v="10461.6"/>
    <n v="10495.28"/>
    <n v="10364.700000000001"/>
    <n v="10252.93"/>
    <n v="10490.94"/>
    <n v="10383.77"/>
    <n v="10372.91"/>
    <n v="10461.6"/>
    <n v="1.5221258930840597E-2"/>
    <n v="1.2050869315560949E-2"/>
    <n v="2.4342718364349925E-2"/>
    <n v="3.4863931170163606E-2"/>
    <n v="1.2459405269548895E-2"/>
    <n v="2.2547607617218648E-2"/>
    <n v="2.3569888829271454E-2"/>
    <n v="1.5221258930840597E-2"/>
    <m/>
    <n v="9309.4299999999985"/>
    <n v="9809.369999999999"/>
    <n v="9462.2480000000014"/>
    <n v="9849.9410000000007"/>
    <n v="9757.9840000000004"/>
    <n v="9897.5049999999992"/>
    <n v="9778.8840000000018"/>
    <n v="9757.7999999999993"/>
    <n v="9809.369999999999"/>
    <n v="0.87632185855619249"/>
    <n v="0.93765485203028209"/>
    <n v="0.90157175415996527"/>
    <n v="0.95033536908931282"/>
    <n v="0.95172638455543923"/>
    <n v="0.94343357220611301"/>
    <n v="0.94174697629088489"/>
    <n v="0.9407003434908815"/>
    <n v="0.93765485203028209"/>
  </r>
  <r>
    <x v="3"/>
    <x v="15"/>
    <x v="15"/>
    <x v="3"/>
    <n v="5981.6699999999992"/>
    <n v="5387.56"/>
    <n v="5588.1129999999994"/>
    <n v="5527.5870000000004"/>
    <n v="5238.7550000000001"/>
    <n v="5490.7050000000008"/>
    <n v="5309.8389999999999"/>
    <n v="5314.48"/>
    <n v="5387.5599999999986"/>
    <n v="9.9321761314147869E-2"/>
    <n v="6.579383349465949E-2"/>
    <n v="7.5912412419942718E-2"/>
    <n v="0.12419859336941007"/>
    <n v="8.207824905085008E-2"/>
    <n v="0.11231495552245432"/>
    <n v="0.11153908523873762"/>
    <n v="9.932176131414816E-2"/>
    <m/>
    <n v="4778.49"/>
    <n v="4982.1200000000008"/>
    <n v="4976.1400000000003"/>
    <n v="5211.6719999999996"/>
    <n v="4911.3490000000002"/>
    <n v="5181.7579999999998"/>
    <n v="4910.6430000000009"/>
    <n v="4909.5469999999996"/>
    <n v="4982.1200000000008"/>
    <n v="0.79885550356338619"/>
    <n v="0.924745153650261"/>
    <n v="0.89048664549195777"/>
    <n v="0.94284757526204455"/>
    <n v="0.93750308995171561"/>
    <n v="0.94373272648958539"/>
    <n v="0.92481956609230542"/>
    <n v="0.92380571570501724"/>
    <n v="0.92474515365026133"/>
  </r>
  <r>
    <x v="3"/>
    <x v="15"/>
    <x v="15"/>
    <x v="4"/>
    <n v="3309.75"/>
    <n v="2862.05"/>
    <n v="3049.4180000000001"/>
    <n v="3033.4"/>
    <n v="2714.0650000000001"/>
    <n v="2974.3960000000002"/>
    <n v="2792.699000000001"/>
    <n v="2726.4609999999998"/>
    <n v="2862.05"/>
    <n v="0.13526701412493386"/>
    <n v="7.8656091849837559E-2"/>
    <n v="8.3495732306065384E-2"/>
    <n v="0.17997885036634184"/>
    <n v="0.1013230606541279"/>
    <n v="0.15622056046529165"/>
    <n v="0.17623355238311056"/>
    <n v="0.13526701412493386"/>
    <m/>
    <n v="2469.67"/>
    <n v="2617.4699999999998"/>
    <n v="2730.3240000000001"/>
    <n v="2871.047"/>
    <n v="2507.9389999999999"/>
    <n v="2768.3240000000001"/>
    <n v="2590.4549999999999"/>
    <n v="2485.5569999999998"/>
    <n v="2617.4699999999998"/>
    <n v="0.74618022509252968"/>
    <n v="0.91454377107318163"/>
    <n v="0.89535904884145101"/>
    <n v="0.94647820927012594"/>
    <n v="0.92405266638787198"/>
    <n v="0.93071803485480742"/>
    <n v="0.92758116789528666"/>
    <n v="0.9116422351172454"/>
    <n v="0.91454377107318163"/>
  </r>
  <r>
    <x v="4"/>
    <x v="16"/>
    <x v="16"/>
    <x v="0"/>
    <n v="538.6350000000001"/>
    <n v="538.6350000000001"/>
    <n v="538.63499999999999"/>
    <n v="538.63499999999999"/>
    <n v="538.63499999999999"/>
    <n v="538.63499999999999"/>
    <n v="538.63499999999999"/>
    <n v="538.63499999999999"/>
    <n v="538.63499999999999"/>
    <n v="0"/>
    <n v="2.1106470563854189E-16"/>
    <n v="2.1106470563854189E-16"/>
    <n v="2.1106470563854189E-16"/>
    <n v="2.1106470563854189E-16"/>
    <n v="2.1106470563854189E-16"/>
    <n v="2.1106470563854189E-16"/>
    <n v="2.1106470563854189E-16"/>
    <m/>
    <n v="538.43299999999999"/>
    <n v="538.63199999999983"/>
    <n v="538.43299999999999"/>
    <n v="538.63199999999983"/>
    <n v="538.63199999999983"/>
    <n v="538.63199999999983"/>
    <n v="538.63199999999983"/>
    <n v="538.63199999999983"/>
    <n v="538.63199999999983"/>
    <n v="0.99962497795353045"/>
    <n v="0.99999443036564595"/>
    <n v="0.99962497795353067"/>
    <n v="0.99999443036564617"/>
    <n v="0.99999443036564617"/>
    <n v="0.99999443036564617"/>
    <n v="0.99999443036564617"/>
    <n v="0.99999443036564617"/>
    <n v="0.99999443036564617"/>
  </r>
  <r>
    <x v="4"/>
    <x v="16"/>
    <x v="16"/>
    <x v="1"/>
    <n v="269.55700000000002"/>
    <n v="269.55599999999998"/>
    <n v="269.55709999999999"/>
    <n v="269.55560000000003"/>
    <n v="269.5557"/>
    <n v="269.55549999999999"/>
    <n v="269.55579999999998"/>
    <n v="269.55529999999999"/>
    <n v="269.55579999999998"/>
    <n v="3.7097905082531582E-6"/>
    <n v="-3.7097905071987721E-7"/>
    <n v="5.1937067113435441E-6"/>
    <n v="4.8227276606236665E-6"/>
    <n v="5.5646857622742981E-6"/>
    <n v="4.4517486099037898E-6"/>
    <n v="6.3066438639249298E-6"/>
    <n v="4.4517486099037898E-6"/>
    <m/>
    <n v="269.39299999999997"/>
    <n v="269.52300000000002"/>
    <n v="269.39299999999997"/>
    <n v="269.52199999999999"/>
    <n v="269.52199999999999"/>
    <n v="269.52199999999999"/>
    <n v="269.52199999999999"/>
    <n v="269.52199999999999"/>
    <n v="269.52199999999999"/>
    <n v="0.99939159435666647"/>
    <n v="0.99987757645906616"/>
    <n v="0.99939122360345911"/>
    <n v="0.99987535039153319"/>
    <n v="0.99987497945693593"/>
    <n v="0.9998757213264059"/>
    <n v="0.99987460852261389"/>
    <n v="0.99987646319697665"/>
    <n v="0.99987460852261389"/>
  </r>
  <r>
    <x v="4"/>
    <x v="16"/>
    <x v="16"/>
    <x v="2"/>
    <n v="135.08600000000001"/>
    <n v="135.08600000000001"/>
    <n v="135.0324"/>
    <n v="135.03550000000001"/>
    <n v="135.01570000000001"/>
    <n v="135.0264"/>
    <n v="135.0239"/>
    <n v="135.01589999999999"/>
    <n v="135.02500000000001"/>
    <n v="0"/>
    <n v="3.9678427076097583E-4"/>
    <n v="3.7383592674296035E-4"/>
    <n v="5.2040922079270335E-4"/>
    <n v="4.4120042047301284E-4"/>
    <n v="4.5970714951967736E-4"/>
    <n v="5.1892868246913013E-4"/>
    <n v="4.5156418873907765E-4"/>
    <m/>
    <n v="134.94200000000001"/>
    <n v="135.03700000000001"/>
    <n v="134.88820000000001"/>
    <n v="134.9872"/>
    <n v="134.96709999999999"/>
    <n v="134.97790000000001"/>
    <n v="134.97540000000001"/>
    <n v="134.96700000000001"/>
    <n v="134.97669999999999"/>
    <n v="0.99893401240691115"/>
    <n v="0.99963726811068498"/>
    <n v="0.99893210814589695"/>
    <n v="0.99964231627979305"/>
    <n v="0.99964004186179811"/>
    <n v="0.99964081098214874"/>
    <n v="0.99964080433167768"/>
    <n v="0.99963782043448235"/>
    <n v="0.99964228846509895"/>
  </r>
  <r>
    <x v="4"/>
    <x v="16"/>
    <x v="16"/>
    <x v="3"/>
    <n v="67.826300000000003"/>
    <n v="67.825699999999998"/>
    <n v="67.788689999999988"/>
    <n v="67.799909999999997"/>
    <n v="67.756879999999995"/>
    <n v="67.904399999999995"/>
    <n v="67.780349999999999"/>
    <n v="67.746099999999998"/>
    <n v="67.822710000000001"/>
    <n v="8.8461260603292095E-6"/>
    <n v="5.5450466854324967E-4"/>
    <n v="3.8908211121653919E-4"/>
    <n v="1.0234967851704725E-3"/>
    <n v="-1.1514707421751158E-3"/>
    <n v="6.7746582078050577E-4"/>
    <n v="1.1824321833861634E-3"/>
    <n v="5.2929320927172005E-5"/>
    <m/>
    <n v="67.691999999999993"/>
    <n v="67.769599999999997"/>
    <n v="67.655209999999997"/>
    <n v="67.743769999999998"/>
    <n v="67.700739999999996"/>
    <n v="67.848519999999994"/>
    <n v="67.724379999999996"/>
    <n v="67.690010000000001"/>
    <n v="67.766580000000005"/>
    <n v="0.9980199421168483"/>
    <n v="0.99917287989655834"/>
    <n v="0.99803093996948467"/>
    <n v="0.99917197530203217"/>
    <n v="0.99917144945280834"/>
    <n v="0.99917707836311043"/>
    <n v="0.99917424445285397"/>
    <n v="0.99917205566076872"/>
    <n v="0.99917240110281647"/>
  </r>
  <r>
    <x v="4"/>
    <x v="16"/>
    <x v="16"/>
    <x v="4"/>
    <n v="34.155999999999999"/>
    <n v="34.155999999999999"/>
    <n v="34.198339999999988"/>
    <n v="34.229769999999988"/>
    <n v="34.150979999999997"/>
    <n v="34.648479999999992"/>
    <n v="34.155889999999992"/>
    <n v="34.111699999999999"/>
    <n v="34.155999999999999"/>
    <n v="0"/>
    <n v="-1.239606511300759E-3"/>
    <n v="-2.1597962290663139E-3"/>
    <n v="1.4697271343253897E-4"/>
    <n v="-1.441855018151989E-2"/>
    <n v="3.2205176252047603E-6"/>
    <n v="1.2969902798922529E-3"/>
    <n v="0"/>
    <m/>
    <n v="34.027000000000001"/>
    <n v="34.096099999999993"/>
    <n v="34.06935"/>
    <n v="34.169699999999992"/>
    <n v="34.090940000000003"/>
    <n v="34.588529999999999"/>
    <n v="34.096009999999993"/>
    <n v="34.05162"/>
    <n v="34.096099999999993"/>
    <n v="0.99622321114884649"/>
    <n v="0.9982462817660146"/>
    <n v="0.99622817949643205"/>
    <n v="0.9982450948399596"/>
    <n v="0.99824192453627991"/>
    <n v="0.99826976536921697"/>
    <n v="0.99824686166866095"/>
    <n v="0.99823872747473741"/>
    <n v="0.9982462817660146"/>
  </r>
  <r>
    <x v="4"/>
    <x v="17"/>
    <x v="17"/>
    <x v="0"/>
    <n v="71.912400000000019"/>
    <n v="71.912400000000019"/>
    <n v="71.912400000000019"/>
    <n v="71.912400000000019"/>
    <n v="71.912400000000019"/>
    <n v="71.912400000000019"/>
    <n v="71.912400000000019"/>
    <n v="71.912400000000019"/>
    <n v="71.912400000000019"/>
    <n v="0"/>
    <n v="0"/>
    <n v="0"/>
    <n v="0"/>
    <n v="0"/>
    <n v="0"/>
    <n v="0"/>
    <n v="0"/>
    <m/>
    <n v="71.893000000000001"/>
    <n v="71.912099999999995"/>
    <n v="71.893000000000001"/>
    <n v="71.912099999999995"/>
    <n v="71.912099999999995"/>
    <n v="71.912099999999995"/>
    <n v="71.912099999999995"/>
    <n v="71.912099999999995"/>
    <n v="71.912099999999995"/>
    <n v="0.99973022733214278"/>
    <n v="0.99999582825771327"/>
    <n v="0.99973022733214278"/>
    <n v="0.99999582825771327"/>
    <n v="0.99999582825771327"/>
    <n v="0.99999582825771327"/>
    <n v="0.99999582825771327"/>
    <n v="0.99999582825771327"/>
    <n v="0.99999582825771327"/>
  </r>
  <r>
    <x v="4"/>
    <x v="17"/>
    <x v="17"/>
    <x v="1"/>
    <n v="36.006899999999987"/>
    <n v="36.006999999999998"/>
    <n v="36.006970000000003"/>
    <n v="36.006680000000003"/>
    <n v="36.006680000000003"/>
    <n v="36.006700000000009"/>
    <n v="36.006680000000003"/>
    <n v="36.006700000000009"/>
    <n v="36.006700000000009"/>
    <n v="-2.7772454726850998E-6"/>
    <n v="-1.9440718310966386E-6"/>
    <n v="6.1099400388416097E-6"/>
    <n v="6.1099400388416097E-6"/>
    <n v="5.5544909441861881E-6"/>
    <n v="6.1099400388416097E-6"/>
    <n v="5.5544909441861881E-6"/>
    <n v="5.5544909441861881E-6"/>
    <m/>
    <n v="35.991"/>
    <n v="36.003999999999998"/>
    <n v="35.991"/>
    <n v="36.00350000000001"/>
    <n v="36.00350000000001"/>
    <n v="36.00350000000001"/>
    <n v="36.003560000000007"/>
    <n v="36.00350000000001"/>
    <n v="36.00350000000001"/>
    <n v="0.99955841796988942"/>
    <n v="0.99991668286722024"/>
    <n v="0.99955647476030329"/>
    <n v="0.99991168305436673"/>
    <n v="0.99991168305436673"/>
    <n v="0.99991112765124268"/>
    <n v="0.99991334941183152"/>
    <n v="0.99991112765124268"/>
    <n v="0.99991112765124268"/>
  </r>
  <r>
    <x v="4"/>
    <x v="17"/>
    <x v="17"/>
    <x v="2"/>
    <n v="18.057099999999998"/>
    <n v="18.056699999999999"/>
    <n v="18.069320000000001"/>
    <n v="18.0688"/>
    <n v="18.054320000000001"/>
    <n v="18.081700000000001"/>
    <n v="18.056170000000002"/>
    <n v="18.053850000000001"/>
    <n v="18.056699999999999"/>
    <n v="2.2151951309959395E-5"/>
    <n v="-6.7674211252099093E-4"/>
    <n v="-6.4794457581788634E-4"/>
    <n v="1.5395606160445389E-4"/>
    <n v="-1.3623450055658475E-3"/>
    <n v="5.1503286795596567E-5"/>
    <n v="1.799846043937152E-4"/>
    <n v="2.2151951309959395E-5"/>
    <m/>
    <n v="18.042999999999999"/>
    <n v="18.052"/>
    <n v="18.055499999999999"/>
    <n v="18.06419"/>
    <n v="18.04964"/>
    <n v="18.07705"/>
    <n v="18.051469999999998"/>
    <n v="18.049199999999999"/>
    <n v="18.052"/>
    <n v="0.99921914371632214"/>
    <n v="0.99973970880614949"/>
    <n v="0.99923516767648135"/>
    <n v="0.99974486407509078"/>
    <n v="0.99974078226153074"/>
    <n v="0.99974283391495256"/>
    <n v="0.99973970116586164"/>
    <n v="0.99974243720868394"/>
    <n v="0.99973970880614949"/>
  </r>
  <r>
    <x v="4"/>
    <x v="17"/>
    <x v="17"/>
    <x v="3"/>
    <n v="9.1410300000000007"/>
    <n v="9.1404200000000024"/>
    <n v="9.1247310000000006"/>
    <n v="9.1266799999999986"/>
    <n v="9.081646000000001"/>
    <n v="9.290010999999998"/>
    <n v="9.1136360000000014"/>
    <n v="9.0781570000000009"/>
    <n v="9.1385080000000016"/>
    <n v="6.6732085990115226E-5"/>
    <n v="1.7830594582886241E-3"/>
    <n v="1.569844973706692E-3"/>
    <n v="6.4964232695877439E-3"/>
    <n v="-1.6298053939216624E-2"/>
    <n v="2.9968176452762163E-3"/>
    <n v="6.8781089220798673E-3"/>
    <n v="2.758988866680259E-4"/>
    <m/>
    <n v="9.1280400000000004"/>
    <n v="9.1351600000000008"/>
    <n v="9.1119080000000015"/>
    <n v="9.1212359999999997"/>
    <n v="9.0760839999999998"/>
    <n v="9.2845439999999986"/>
    <n v="9.1082059999999991"/>
    <n v="9.0727280000000015"/>
    <n v="9.1332250000000013"/>
    <n v="0.99857893475899318"/>
    <n v="0.99942453410237153"/>
    <n v="0.99859469829850334"/>
    <n v="0.99940350708034043"/>
    <n v="0.99938755595626594"/>
    <n v="0.99941151845783616"/>
    <n v="0.99940418950241128"/>
    <n v="0.99940197112695894"/>
    <n v="0.99942189687857141"/>
  </r>
  <r>
    <x v="4"/>
    <x v="17"/>
    <x v="17"/>
    <x v="4"/>
    <n v="4.6395099999999996"/>
    <n v="4.6395199999999992"/>
    <n v="4.7650769999999998"/>
    <n v="4.7559469999999999"/>
    <n v="4.6249880000000001"/>
    <n v="4.8573199999999996"/>
    <n v="4.6381300000000012"/>
    <n v="4.5930780000000002"/>
    <n v="4.6395199999999992"/>
    <n v="-2.1554000313872422E-6"/>
    <n v="-2.7064711575144836E-2"/>
    <n v="-2.5096831346413814E-2"/>
    <n v="3.1300719256989384E-3"/>
    <n v="-4.6946768085422828E-2"/>
    <n v="2.9744520434235139E-4"/>
    <n v="1.0007953426115983E-2"/>
    <n v="-2.1554000313872422E-6"/>
    <m/>
    <n v="4.62704"/>
    <n v="4.6337999999999999"/>
    <n v="4.7527290000000004"/>
    <n v="4.7502030000000008"/>
    <n v="4.6190920000000002"/>
    <n v="4.8514720000000002"/>
    <n v="4.6323960000000008"/>
    <n v="4.5872459999999986"/>
    <n v="4.6337999999999999"/>
    <n v="0.99731221616075849"/>
    <n v="0.9987671138393629"/>
    <n v="0.99740864628210635"/>
    <n v="0.99879224894642449"/>
    <n v="0.99872518588156334"/>
    <n v="0.99879604390898702"/>
    <n v="0.99876372589815288"/>
    <n v="0.99873026323524194"/>
    <n v="0.9987671138393629"/>
  </r>
  <r>
    <x v="4"/>
    <x v="18"/>
    <x v="18"/>
    <x v="0"/>
    <n v="288.20100000000002"/>
    <n v="288.20100000000002"/>
    <n v="288.20100000000002"/>
    <n v="288.20100000000002"/>
    <n v="288.20100000000002"/>
    <n v="288.20100000000002"/>
    <n v="288.20100000000002"/>
    <n v="288.20100000000002"/>
    <n v="288.20100000000002"/>
    <n v="0"/>
    <n v="0"/>
    <n v="0"/>
    <n v="0"/>
    <n v="0"/>
    <n v="0"/>
    <n v="0"/>
    <n v="0"/>
    <m/>
    <n v="288.10300000000001"/>
    <n v="288.19900000000001"/>
    <n v="288.10300000000001"/>
    <n v="288.19900000000001"/>
    <n v="288.19900000000001"/>
    <n v="288.19900000000001"/>
    <n v="288.19900000000001"/>
    <n v="288.19900000000001"/>
    <n v="288.19900000000001"/>
    <n v="0.99965995954212505"/>
    <n v="0.99999306039881886"/>
    <n v="0.99965995954212505"/>
    <n v="0.99999306039881886"/>
    <n v="0.99999306039881886"/>
    <n v="0.99999306039881886"/>
    <n v="0.99999306039881886"/>
    <n v="0.99999306039881886"/>
    <n v="0.99999306039881886"/>
  </r>
  <r>
    <x v="4"/>
    <x v="18"/>
    <x v="18"/>
    <x v="1"/>
    <n v="144.27600000000001"/>
    <n v="144.27600000000001"/>
    <n v="144.23140000000001"/>
    <n v="144.23070000000001"/>
    <n v="144.23050000000001"/>
    <n v="144.23070000000001"/>
    <n v="144.23079999999999"/>
    <n v="144.2304"/>
    <n v="144.2304"/>
    <n v="0"/>
    <n v="3.0912972358536854E-4"/>
    <n v="3.1398153539048386E-4"/>
    <n v="3.1536776733485878E-4"/>
    <n v="3.1398153539048386E-4"/>
    <n v="3.1328841941849337E-4"/>
    <n v="3.1606088330704627E-4"/>
    <n v="3.1606088330704627E-4"/>
    <m/>
    <n v="144.197"/>
    <n v="144.26"/>
    <n v="144.15199999999999"/>
    <n v="144.214"/>
    <n v="144.214"/>
    <n v="144.214"/>
    <n v="144.214"/>
    <n v="144.214"/>
    <n v="144.214"/>
    <n v="0.99945243838199005"/>
    <n v="0.99988910144445353"/>
    <n v="0.99944949574087183"/>
    <n v="0.99988421327775556"/>
    <n v="0.99988559978645286"/>
    <n v="0.99988421327775556"/>
    <n v="0.99988352002484915"/>
    <n v="0.99988629304224352"/>
    <n v="0.99988629304224352"/>
  </r>
  <r>
    <x v="4"/>
    <x v="18"/>
    <x v="18"/>
    <x v="2"/>
    <n v="72.312300000000008"/>
    <n v="72.31280000000001"/>
    <n v="72.25949"/>
    <n v="72.263599999999997"/>
    <n v="72.24524000000001"/>
    <n v="72.410000000000011"/>
    <n v="72.251549999999995"/>
    <n v="72.245260000000002"/>
    <n v="72.306750000000008"/>
    <n v="-6.9144530045702791E-6"/>
    <n v="7.3030452633933657E-4"/>
    <n v="6.7346772264207939E-4"/>
    <n v="9.2736643696850868E-4"/>
    <n v="-1.351084117086626E-3"/>
    <n v="8.4010604005145669E-4"/>
    <n v="9.2708985884843592E-4"/>
    <n v="7.6750428350356699E-5"/>
    <m/>
    <n v="72.242999999999981"/>
    <n v="72.289500000000004"/>
    <n v="72.19"/>
    <n v="72.239850000000004"/>
    <n v="72.221790000000013"/>
    <n v="72.386350000000007"/>
    <n v="72.228219999999993"/>
    <n v="72.221700000000013"/>
    <n v="72.283370000000005"/>
    <n v="0.99904165681357071"/>
    <n v="0.99967778871790325"/>
    <n v="0.99903832700729001"/>
    <n v="0.99967134214182529"/>
    <n v="0.9996754111412739"/>
    <n v="0.999673387653639"/>
    <n v="0.99967710035286439"/>
    <n v="0.99967388863989159"/>
    <n v="0.99967665536066819"/>
  </r>
  <r>
    <x v="4"/>
    <x v="18"/>
    <x v="18"/>
    <x v="3"/>
    <n v="36.288699999999999"/>
    <n v="36.288499999999999"/>
    <n v="36.292050000000003"/>
    <n v="36.292969999999997"/>
    <n v="36.262610000000002"/>
    <n v="36.894300000000001"/>
    <n v="36.286639999999998"/>
    <n v="36.252890000000001"/>
    <n v="36.288499999999999"/>
    <n v="5.5113575300171653E-6"/>
    <n v="-9.2315238628130168E-5"/>
    <n v="-1.1766748326609164E-4"/>
    <n v="7.1895658979231533E-4"/>
    <n v="-1.6688390600930941E-2"/>
    <n v="5.6766982559313857E-5"/>
    <n v="9.8680856575181523E-4"/>
    <n v="5.5113575300171653E-6"/>
    <m/>
    <n v="36.222999999999999"/>
    <n v="36.260800000000003"/>
    <n v="36.227609999999999"/>
    <n v="36.265810000000002"/>
    <n v="36.235280000000003"/>
    <n v="36.866810000000001"/>
    <n v="36.259159999999987"/>
    <n v="36.225569999999998"/>
    <n v="36.260800000000003"/>
    <n v="0.9981895190513852"/>
    <n v="0.99923667277512174"/>
    <n v="0.99822440451834482"/>
    <n v="0.99925164570438862"/>
    <n v="0.99924633113832684"/>
    <n v="0.99925489845314863"/>
    <n v="0.99924269648553821"/>
    <n v="0.99924640490730521"/>
    <n v="0.99923667277512174"/>
  </r>
  <r>
    <x v="4"/>
    <x v="18"/>
    <x v="18"/>
    <x v="4"/>
    <n v="18.2897"/>
    <n v="18.2895"/>
    <n v="18.34665"/>
    <n v="18.341809999999999"/>
    <n v="18.2821"/>
    <n v="19.12567"/>
    <n v="18.28931"/>
    <n v="18.257069999999999"/>
    <n v="18.2895"/>
    <n v="1.0935116486302886E-5"/>
    <n v="-3.1137744194820309E-3"/>
    <n v="-2.8491446005128019E-3"/>
    <n v="4.1553442648048088E-4"/>
    <n v="-4.5707146645379622E-2"/>
    <n v="2.1323477148310052E-5"/>
    <n v="1.7840642547445309E-3"/>
    <n v="1.0935116486302886E-5"/>
    <m/>
    <n v="18.227"/>
    <n v="18.260200000000001"/>
    <n v="18.284320000000001"/>
    <n v="18.31279"/>
    <n v="18.25281"/>
    <n v="19.096530000000001"/>
    <n v="18.260059999999999"/>
    <n v="18.227779999999999"/>
    <n v="18.260200000000001"/>
    <n v="0.99657184098153606"/>
    <n v="0.9983979879165642"/>
    <n v="0.9966026495300232"/>
    <n v="0.99841782245045618"/>
    <n v="0.99839788645724503"/>
    <n v="0.99847639324530868"/>
    <n v="0.99840070511134638"/>
    <n v="0.99839568999844996"/>
    <n v="0.9983979879165642"/>
  </r>
  <r>
    <x v="4"/>
    <x v="19"/>
    <x v="19"/>
    <x v="0"/>
    <n v="361.779"/>
    <n v="361.779"/>
    <n v="361.779"/>
    <n v="361.779"/>
    <n v="361.779"/>
    <n v="361.779"/>
    <n v="361.779"/>
    <n v="361.779"/>
    <n v="361.779"/>
    <n v="0"/>
    <n v="0"/>
    <n v="0"/>
    <n v="0"/>
    <n v="0"/>
    <n v="0"/>
    <n v="0"/>
    <n v="0"/>
    <m/>
    <n v="361.64"/>
    <n v="361.77699999999999"/>
    <n v="361.64"/>
    <n v="361.77699999999999"/>
    <n v="361.77699999999999"/>
    <n v="361.77699999999999"/>
    <n v="361.77699999999999"/>
    <n v="361.77699999999999"/>
    <n v="361.77699999999999"/>
    <n v="0.99961578753880131"/>
    <n v="0.99999447176314815"/>
    <n v="0.99961578753880131"/>
    <n v="0.99999447176314815"/>
    <n v="0.99999447176314815"/>
    <n v="0.99999447176314815"/>
    <n v="0.99999447176314815"/>
    <n v="0.99999447176314815"/>
    <n v="0.99999447176314815"/>
  </r>
  <r>
    <x v="4"/>
    <x v="19"/>
    <x v="19"/>
    <x v="1"/>
    <n v="181.066"/>
    <n v="181.066"/>
    <n v="181.0658"/>
    <n v="181.0651"/>
    <n v="181.06489999999999"/>
    <n v="181.065"/>
    <n v="181.0652"/>
    <n v="181.0651"/>
    <n v="181.065"/>
    <n v="0"/>
    <n v="1.1045696044902926E-6"/>
    <n v="4.9705632200493476E-6"/>
    <n v="6.0751328245396406E-6"/>
    <n v="5.5228480222944937E-6"/>
    <n v="4.4182784178042015E-6"/>
    <n v="4.9705632200493476E-6"/>
    <n v="5.5228480222944937E-6"/>
    <m/>
    <n v="180.95400000000001"/>
    <n v="181.04300000000001"/>
    <n v="180.953"/>
    <n v="181.042"/>
    <n v="181.042"/>
    <n v="181.042"/>
    <n v="181.042"/>
    <n v="181.042"/>
    <n v="181.042"/>
    <n v="0.99938144102150595"/>
    <n v="0.99987297449548784"/>
    <n v="0.9993770220549657"/>
    <n v="0.99987242157654899"/>
    <n v="0.99987352601194379"/>
    <n v="0.99987297379394147"/>
    <n v="0.99987186935976657"/>
    <n v="0.99987242157654899"/>
    <n v="0.99987297379394147"/>
  </r>
  <r>
    <x v="4"/>
    <x v="19"/>
    <x v="19"/>
    <x v="2"/>
    <n v="90.724500000000006"/>
    <n v="90.724500000000006"/>
    <n v="90.728520000000003"/>
    <n v="90.721000000000004"/>
    <n v="90.70805"/>
    <n v="90.763460000000009"/>
    <n v="90.7166"/>
    <n v="90.707819999999998"/>
    <n v="90.723980000000012"/>
    <n v="0"/>
    <n v="-4.4309971396888666E-5"/>
    <n v="3.8578333305804949E-5"/>
    <n v="1.8131816653722059E-4"/>
    <n v="-4.2943196159805772E-4"/>
    <n v="8.7076809461682976E-5"/>
    <n v="1.838533141544789E-4"/>
    <n v="5.7316380910837187E-6"/>
    <m/>
    <n v="90.625"/>
    <n v="90.691100000000006"/>
    <n v="90.629199999999997"/>
    <n v="90.687659999999994"/>
    <n v="90.674390000000002"/>
    <n v="90.72999999999999"/>
    <n v="90.68310000000001"/>
    <n v="90.674300000000002"/>
    <n v="90.690600000000003"/>
    <n v="0.99890327309602145"/>
    <n v="0.99963185247645348"/>
    <n v="0.99890530563046764"/>
    <n v="0.99963249964175871"/>
    <n v="0.99962891937374909"/>
    <n v="0.99963134944392795"/>
    <n v="0.99963071808246795"/>
    <n v="0.99963046184992654"/>
    <n v="0.99963207081523531"/>
  </r>
  <r>
    <x v="4"/>
    <x v="19"/>
    <x v="19"/>
    <x v="3"/>
    <n v="45.569000000000003"/>
    <n v="45.568800000000003"/>
    <n v="45.57479"/>
    <n v="45.570140000000002"/>
    <n v="45.540860000000002"/>
    <n v="46.017330000000001"/>
    <n v="45.564079999999997"/>
    <n v="45.529460000000007"/>
    <n v="45.568800000000003"/>
    <n v="4.3889486273460874E-6"/>
    <n v="-1.2706006276191092E-4"/>
    <n v="-2.5017007175919477E-5"/>
    <n v="6.1752507186904463E-4"/>
    <n v="-9.8384866905132547E-3"/>
    <n v="1.0796813623308798E-4"/>
    <n v="8.6769514362823943E-4"/>
    <n v="4.3889486273460874E-6"/>
    <m/>
    <n v="45.47699999999999"/>
    <n v="45.530299999999997"/>
    <n v="45.482399999999998"/>
    <n v="45.531449999999992"/>
    <n v="45.502040000000001"/>
    <n v="45.978560000000002"/>
    <n v="45.525489999999998"/>
    <n v="45.490639999999999"/>
    <n v="45.530299999999997"/>
    <n v="0.9979810836314158"/>
    <n v="0.99915512368111503"/>
    <n v="0.9979727827599425"/>
    <n v="0.99915097912799899"/>
    <n v="0.99914757867989312"/>
    <n v="0.99915749131903131"/>
    <n v="0.99915306091991762"/>
    <n v="0.99914736524439318"/>
    <n v="0.99915512368111503"/>
  </r>
  <r>
    <x v="4"/>
    <x v="19"/>
    <x v="19"/>
    <x v="4"/>
    <n v="22.953399999999991"/>
    <n v="22.953199999999999"/>
    <n v="23.021909999999998"/>
    <n v="23.02704"/>
    <n v="22.968430000000001"/>
    <n v="23.584140000000001"/>
    <n v="22.953220000000002"/>
    <n v="22.94059"/>
    <n v="22.953199999999999"/>
    <n v="8.7133060893997636E-6"/>
    <n v="-2.9847430010371875E-3"/>
    <n v="-3.2082393022388042E-3"/>
    <n v="-6.5480495264362126E-4"/>
    <n v="-2.7479153415180771E-2"/>
    <n v="7.8419754803050086E-6"/>
    <n v="5.5808725504679529E-4"/>
    <n v="8.7133060893997636E-6"/>
    <m/>
    <n v="22.864000000000001"/>
    <n v="22.9117"/>
    <n v="22.933229999999998"/>
    <n v="22.98573"/>
    <n v="22.927040000000002"/>
    <n v="23.542829999999999"/>
    <n v="22.9117"/>
    <n v="22.89903"/>
    <n v="22.9117"/>
    <n v="0.99610515217789131"/>
    <n v="0.99819197323249054"/>
    <n v="0.99614801725834212"/>
    <n v="0.99820602213745235"/>
    <n v="0.9981979612886035"/>
    <n v="0.99824839913602947"/>
    <n v="0.99819110347044981"/>
    <n v="0.99818836394356025"/>
    <n v="0.99819197323249054"/>
  </r>
  <r>
    <x v="5"/>
    <x v="20"/>
    <x v="20"/>
    <x v="0"/>
    <n v="13810.3"/>
    <n v="13810.3"/>
    <n v="13810.3"/>
    <n v="13810.3"/>
    <n v="13810.3"/>
    <n v="13810.3"/>
    <n v="13810.3"/>
    <n v="13810.3"/>
    <n v="13810.3"/>
    <n v="0"/>
    <n v="0"/>
    <n v="0"/>
    <n v="0"/>
    <n v="0"/>
    <n v="0"/>
    <n v="0"/>
    <n v="0"/>
    <m/>
    <n v="11814.5"/>
    <n v="13810.1"/>
    <n v="11814.5"/>
    <n v="13810.1"/>
    <n v="13810.1"/>
    <n v="13810.1"/>
    <n v="13810.1"/>
    <n v="13810.1"/>
    <n v="13810.1"/>
    <n v="0.85548467448208954"/>
    <n v="0.99998551805536451"/>
    <n v="0.85548467448208954"/>
    <n v="0.99998551805536451"/>
    <n v="0.99998551805536451"/>
    <n v="0.99998551805536451"/>
    <n v="0.99998551805536451"/>
    <n v="0.99998551805536451"/>
    <n v="0.99998551805536451"/>
  </r>
  <r>
    <x v="5"/>
    <x v="20"/>
    <x v="20"/>
    <x v="1"/>
    <n v="7244.19"/>
    <n v="7176.26"/>
    <n v="7182.759"/>
    <n v="7135.9929999999986"/>
    <n v="7135.9829999999984"/>
    <n v="7204.6809999999996"/>
    <n v="7135.9949999999999"/>
    <n v="7135.9889999999996"/>
    <n v="7166.6929999999993"/>
    <n v="9.377169842314929E-3"/>
    <n v="8.4800371055976705E-3"/>
    <n v="1.4935693293522262E-2"/>
    <n v="1.4937073710104408E-2"/>
    <n v="5.4538878742827037E-3"/>
    <n v="1.4935417210205656E-2"/>
    <n v="1.4936245460154969E-2"/>
    <n v="1.0697814386425577E-2"/>
    <m/>
    <n v="6357.76"/>
    <n v="7176.1"/>
    <n v="6309.2910000000002"/>
    <n v="7135.83"/>
    <n v="7135.82"/>
    <n v="7204.5240000000003"/>
    <n v="7135.8349999999991"/>
    <n v="7135.82"/>
    <n v="7166.5259999999998"/>
    <n v="0.87763573291147812"/>
    <n v="0.99997770426378085"/>
    <n v="0.87839380382941989"/>
    <n v="0.9999771580493424"/>
    <n v="0.99997715801733289"/>
    <n v="0.99997820861187336"/>
    <n v="0.99997757845962609"/>
    <n v="0.99997631722806746"/>
    <n v="0.99997669776004083"/>
  </r>
  <r>
    <x v="5"/>
    <x v="20"/>
    <x v="20"/>
    <x v="2"/>
    <n v="4983.99"/>
    <n v="4897.8000000000011"/>
    <n v="4935.9620000000004"/>
    <n v="4883.5379999999996"/>
    <n v="4862.1119999999992"/>
    <n v="4987.4879999999994"/>
    <n v="4880.308"/>
    <n v="4861.5169999999998"/>
    <n v="4897.8000000000011"/>
    <n v="1.7293373381567518E-2"/>
    <n v="9.6364559318937917E-3"/>
    <n v="2.0154936105409568E-2"/>
    <n v="2.4453901392258132E-2"/>
    <n v="-7.0184731510287794E-4"/>
    <n v="2.0803011241996832E-2"/>
    <n v="2.4573283654260935E-2"/>
    <n v="1.7293373381567518E-2"/>
    <m/>
    <n v="4467.33"/>
    <n v="4897.68"/>
    <n v="4459.8339999999998"/>
    <n v="4883.4129999999996"/>
    <n v="4861.9889999999996"/>
    <n v="4987.3660000000009"/>
    <n v="4880.1839999999993"/>
    <n v="4861.3849999999993"/>
    <n v="4897.68"/>
    <n v="0.89633606809002431"/>
    <n v="0.99997549920372397"/>
    <n v="0.90353896565654257"/>
    <n v="0.9999744038031444"/>
    <n v="0.99997470235157071"/>
    <n v="0.99997553878826406"/>
    <n v="0.99997459176756864"/>
    <n v="0.99997284798140162"/>
    <n v="0.99997549920372397"/>
  </r>
  <r>
    <x v="5"/>
    <x v="20"/>
    <x v="20"/>
    <x v="3"/>
    <n v="3884.1799999999989"/>
    <n v="3884.33"/>
    <n v="3860.3270000000002"/>
    <n v="3841.1570000000002"/>
    <n v="3800.4899999999989"/>
    <n v="3923.822999999999"/>
    <n v="3848.0920000000001"/>
    <n v="3799.9879999999998"/>
    <n v="3884.33"/>
    <n v="-3.8618189682507116E-5"/>
    <n v="6.1410645232709881E-3"/>
    <n v="1.1076469164662499E-2"/>
    <n v="2.1546375296716443E-2"/>
    <n v="-1.02062726238228E-2"/>
    <n v="9.2910215283531754E-3"/>
    <n v="2.1675617504852793E-2"/>
    <n v="-3.8618189682507116E-5"/>
    <m/>
    <n v="3612.15"/>
    <n v="3884.22"/>
    <n v="3583.07"/>
    <n v="3841.0530000000008"/>
    <n v="3800.3829999999998"/>
    <n v="3923.7220000000002"/>
    <n v="3847.9969999999998"/>
    <n v="3799.8780000000002"/>
    <n v="3884.22"/>
    <n v="0.92996462573825134"/>
    <n v="0.99997168108785806"/>
    <n v="0.92817784607366161"/>
    <n v="0.99997292482447364"/>
    <n v="0.99997184573568165"/>
    <n v="0.99997425979714205"/>
    <n v="0.99997531244055493"/>
    <n v="0.99997105254016605"/>
    <n v="0.99997168108785806"/>
  </r>
  <r>
    <x v="5"/>
    <x v="20"/>
    <x v="20"/>
    <x v="4"/>
    <n v="3385.1"/>
    <n v="3385.1"/>
    <n v="3369.9209999999998"/>
    <n v="3357.6509999999998"/>
    <n v="3303.797"/>
    <n v="3400.1709999999998"/>
    <n v="3379.0259999999989"/>
    <n v="3304.056"/>
    <n v="3385.1"/>
    <n v="0"/>
    <n v="4.484062509231659E-3"/>
    <n v="8.1087707896369595E-3"/>
    <n v="2.401790198221615E-2"/>
    <n v="-4.4521579864700931E-3"/>
    <n v="1.7943339930876425E-3"/>
    <n v="2.394139021003807E-2"/>
    <n v="0"/>
    <m/>
    <n v="3186.46"/>
    <n v="3385.02"/>
    <n v="3169.127"/>
    <n v="3357.5590000000002"/>
    <n v="3303.692"/>
    <n v="3400.0680000000002"/>
    <n v="3378.9450000000002"/>
    <n v="3303.95"/>
    <n v="3385.02"/>
    <n v="0.9413193110986382"/>
    <n v="0.99997636702017667"/>
    <n v="0.9404158139018689"/>
    <n v="0.99997259989200793"/>
    <n v="0.99996821838629912"/>
    <n v="0.99996970740589231"/>
    <n v="0.99997602859522272"/>
    <n v="0.99996791821930375"/>
    <n v="0.99997636702017667"/>
  </r>
  <r>
    <x v="5"/>
    <x v="21"/>
    <x v="21"/>
    <x v="0"/>
    <n v="27914.799999999999"/>
    <n v="27914.799999999999"/>
    <n v="27914.799999999999"/>
    <n v="27914.799999999999"/>
    <n v="27914.799999999999"/>
    <n v="27914.799999999999"/>
    <n v="27914.799999999999"/>
    <n v="27914.799999999999"/>
    <n v="27914.799999999999"/>
    <n v="0"/>
    <n v="0"/>
    <n v="0"/>
    <n v="0"/>
    <n v="0"/>
    <n v="0"/>
    <n v="0"/>
    <n v="0"/>
    <m/>
    <n v="24451.3"/>
    <n v="27914.5"/>
    <n v="24451.3"/>
    <n v="27914.5"/>
    <n v="27914.5"/>
    <n v="27914.5"/>
    <n v="27914.5"/>
    <n v="27914.5"/>
    <n v="27914.5"/>
    <n v="0.87592603206900999"/>
    <n v="0.99998925301273878"/>
    <n v="0.87592603206900999"/>
    <n v="0.99998925301273878"/>
    <n v="0.99998925301273878"/>
    <n v="0.99998925301273878"/>
    <n v="0.99998925301273878"/>
    <n v="0.99998925301273878"/>
    <n v="0.99998925301273878"/>
  </r>
  <r>
    <x v="5"/>
    <x v="21"/>
    <x v="21"/>
    <x v="1"/>
    <n v="16140.5"/>
    <n v="16150"/>
    <n v="16157.06"/>
    <n v="16127.98"/>
    <n v="16121.32"/>
    <n v="16280.97"/>
    <n v="16121.1"/>
    <n v="16121.1"/>
    <n v="16150"/>
    <n v="-5.885815185403178E-4"/>
    <n v="-1.0259905207397225E-3"/>
    <n v="7.7568848548684589E-4"/>
    <n v="1.1883151079582596E-3"/>
    <n v="-8.7029522009850584E-3"/>
    <n v="1.2019454168086265E-3"/>
    <n v="1.2019454168086265E-3"/>
    <n v="-5.885815185403178E-4"/>
    <m/>
    <n v="14699.4"/>
    <n v="16149.8"/>
    <n v="14682.79"/>
    <n v="16127.7"/>
    <n v="16121.02"/>
    <n v="16280.69"/>
    <n v="16120.8"/>
    <n v="16120.8"/>
    <n v="16149.8"/>
    <n v="0.91071528143489977"/>
    <n v="0.99998761609907116"/>
    <n v="0.90875382031136864"/>
    <n v="0.99998263886735983"/>
    <n v="0.99998139110196937"/>
    <n v="0.99998280200749712"/>
    <n v="0.99998139084801896"/>
    <n v="0.99998139084801896"/>
    <n v="0.99998761609907116"/>
  </r>
  <r>
    <x v="5"/>
    <x v="21"/>
    <x v="21"/>
    <x v="2"/>
    <n v="11830.4"/>
    <n v="11827.8"/>
    <n v="11850.95"/>
    <n v="11820.36"/>
    <n v="11780.01"/>
    <n v="12012.98"/>
    <n v="11785.07"/>
    <n v="11778.6"/>
    <n v="11827.8"/>
    <n v="2.1977278874766397E-4"/>
    <n v="-1.7370503110631164E-3"/>
    <n v="8.4866107654847298E-4"/>
    <n v="4.2593657019204274E-3"/>
    <n v="-1.5433121449824175E-2"/>
    <n v="3.831654043819307E-3"/>
    <n v="4.3785501758181692E-3"/>
    <n v="2.1977278874766397E-4"/>
    <m/>
    <n v="11069.1"/>
    <n v="11827.6"/>
    <n v="11072.07"/>
    <n v="11820.16"/>
    <n v="11779.8"/>
    <n v="12012.73"/>
    <n v="11784.86"/>
    <n v="11778.36"/>
    <n v="11827.6"/>
    <n v="0.93564883689477962"/>
    <n v="0.99998309068465829"/>
    <n v="0.93427699889038418"/>
    <n v="0.99998308004155534"/>
    <n v="0.99998217319000571"/>
    <n v="0.99997918917704021"/>
    <n v="0.99998218084406798"/>
    <n v="0.99997962406398044"/>
    <n v="0.99998309068465829"/>
  </r>
  <r>
    <x v="5"/>
    <x v="21"/>
    <x v="21"/>
    <x v="3"/>
    <n v="9775.5300000000007"/>
    <n v="9775.5300000000007"/>
    <n v="9769.3139999999985"/>
    <n v="9750.2949999999983"/>
    <n v="9696.0720000000001"/>
    <n v="9871.5949999999993"/>
    <n v="9768.0499999999993"/>
    <n v="9693.2489999999998"/>
    <n v="9775.5300000000007"/>
    <n v="0"/>
    <n v="6.3587345136296113E-4"/>
    <n v="2.5814457118951504E-3"/>
    <n v="8.1282549386069644E-3"/>
    <n v="-9.8270886591313913E-3"/>
    <n v="7.6517590350614055E-4"/>
    <n v="8.417037234809863E-3"/>
    <n v="0"/>
    <m/>
    <n v="9356.61"/>
    <n v="9775.34"/>
    <n v="9321.6769999999997"/>
    <n v="9750.117000000002"/>
    <n v="9695.8739999999998"/>
    <n v="9871.4179999999997"/>
    <n v="9767.8739999999998"/>
    <n v="9693.0439999999999"/>
    <n v="9775.34"/>
    <n v="0.95714605755391269"/>
    <n v="0.99998056371368094"/>
    <n v="0.95417928014188114"/>
    <n v="0.99998174414210073"/>
    <n v="0.99997957935955917"/>
    <n v="0.99998206976684112"/>
    <n v="0.99998198207421141"/>
    <n v="0.99997885126029462"/>
    <n v="0.99998056371368094"/>
  </r>
  <r>
    <x v="5"/>
    <x v="21"/>
    <x v="21"/>
    <x v="4"/>
    <n v="8781.9599999999973"/>
    <n v="8781.9599999999973"/>
    <n v="8757.6670000000013"/>
    <n v="8737.8520000000008"/>
    <n v="8685.2350000000006"/>
    <n v="8823.9449999999979"/>
    <n v="8740.9929999999986"/>
    <n v="8679.4050000000007"/>
    <n v="8781.9599999999973"/>
    <n v="0"/>
    <n v="2.766238971709736E-3"/>
    <n v="5.0225689937094392E-3"/>
    <n v="1.1014056087706703E-2"/>
    <n v="-4.7808234152741068E-3"/>
    <n v="4.6649039622133036E-3"/>
    <n v="1.1677917002582189E-2"/>
    <n v="0"/>
    <m/>
    <n v="8509.7999999999993"/>
    <n v="8781.7800000000007"/>
    <n v="8479.3389999999999"/>
    <n v="8737.6859999999997"/>
    <n v="8685.0369999999984"/>
    <n v="8823.7709999999988"/>
    <n v="8740.8279999999995"/>
    <n v="8679.1979999999985"/>
    <n v="8781.7800000000007"/>
    <n v="0.96900919612478331"/>
    <n v="0.99997950343659081"/>
    <n v="0.9682189331930523"/>
    <n v="0.99998100219596286"/>
    <n v="0.99997720268939161"/>
    <n v="0.99998028092876834"/>
    <n v="0.99998112342613721"/>
    <n v="0.99997615043888355"/>
    <n v="0.99997950343659081"/>
  </r>
  <r>
    <x v="5"/>
    <x v="22"/>
    <x v="22"/>
    <x v="0"/>
    <n v="39116.5"/>
    <n v="39116.5"/>
    <n v="39116.5"/>
    <n v="39116.5"/>
    <n v="39116.5"/>
    <n v="39116.5"/>
    <n v="39116.5"/>
    <n v="39116.5"/>
    <n v="39116.5"/>
    <n v="0"/>
    <n v="0"/>
    <n v="0"/>
    <n v="0"/>
    <n v="0"/>
    <n v="0"/>
    <n v="0"/>
    <n v="0"/>
    <m/>
    <n v="33912.099999999991"/>
    <n v="39116"/>
    <n v="33912.099999999991"/>
    <n v="39116"/>
    <n v="39116"/>
    <n v="39116"/>
    <n v="39116"/>
    <n v="39116"/>
    <n v="39116"/>
    <n v="0.86695128654148479"/>
    <n v="0.99998721767029264"/>
    <n v="0.86695128654148479"/>
    <n v="0.99998721767029264"/>
    <n v="0.99998721767029264"/>
    <n v="0.99998721767029264"/>
    <n v="0.99998721767029264"/>
    <n v="0.99998721767029264"/>
    <n v="0.99998721767029264"/>
  </r>
  <r>
    <x v="5"/>
    <x v="22"/>
    <x v="22"/>
    <x v="1"/>
    <n v="21282.7"/>
    <n v="21303.9"/>
    <n v="21351.18"/>
    <n v="21272.720000000001"/>
    <n v="21272"/>
    <n v="21527.17"/>
    <n v="21272.01"/>
    <n v="21272"/>
    <n v="21273.08"/>
    <n v="-9.9611421483179882E-4"/>
    <n v="-3.2176368599848497E-3"/>
    <n v="4.6892546528398948E-4"/>
    <n v="5.0275575937267013E-4"/>
    <n v="-1.1486794438675427E-2"/>
    <n v="5.0228589417707005E-4"/>
    <n v="5.0275575937267013E-4"/>
    <n v="4.5201031823964913E-4"/>
    <m/>
    <n v="18860.400000000001"/>
    <n v="21303.4"/>
    <n v="18840.88"/>
    <n v="21272.240000000002"/>
    <n v="21271.5"/>
    <n v="21526.7"/>
    <n v="21271.51"/>
    <n v="21271.5"/>
    <n v="21272.6"/>
    <n v="0.88618455365155746"/>
    <n v="0.99997653011889842"/>
    <n v="0.88242804378961726"/>
    <n v="0.99997743588972166"/>
    <n v="0.9999764949229033"/>
    <n v="0.99997816712554422"/>
    <n v="0.99997649493395313"/>
    <n v="0.9999764949229033"/>
    <n v="0.99997743627156932"/>
  </r>
  <r>
    <x v="5"/>
    <x v="22"/>
    <x v="22"/>
    <x v="2"/>
    <n v="14028.3"/>
    <n v="14023"/>
    <n v="14108.55"/>
    <n v="14015.58"/>
    <n v="14004.43"/>
    <n v="14067.11"/>
    <n v="14007.86"/>
    <n v="14004.12"/>
    <n v="14023"/>
    <n v="3.7780771725720667E-4"/>
    <n v="-5.720579115074528E-3"/>
    <n v="9.0673852141737383E-4"/>
    <n v="1.7015604171566748E-3"/>
    <n v="-2.7665504729725847E-3"/>
    <n v="1.457054668063749E-3"/>
    <n v="1.7236586043924405E-3"/>
    <n v="3.7780771725720667E-4"/>
    <m/>
    <n v="12790.9"/>
    <n v="14022.6"/>
    <n v="12793.57"/>
    <n v="14015.22"/>
    <n v="14004.06"/>
    <n v="14066.78"/>
    <n v="14007.46"/>
    <n v="14003.74"/>
    <n v="14022.6"/>
    <n v="0.91179259069167329"/>
    <n v="0.99997147543321685"/>
    <n v="0.90679552469956159"/>
    <n v="0.99997431429880168"/>
    <n v="0.99997357978868107"/>
    <n v="0.99997654102370703"/>
    <n v="0.99997144460324405"/>
    <n v="0.99997286512826222"/>
    <n v="0.99997147543321685"/>
  </r>
  <r>
    <x v="5"/>
    <x v="22"/>
    <x v="22"/>
    <x v="3"/>
    <n v="10416.4"/>
    <n v="10390.1"/>
    <n v="10501.6"/>
    <n v="10455.51"/>
    <n v="10373.68"/>
    <n v="10484.030000000001"/>
    <n v="10381.34"/>
    <n v="10370.36"/>
    <n v="10390.1"/>
    <n v="2.5248646365346257E-3"/>
    <n v="-8.1794093928805271E-3"/>
    <n v="-3.7546561191967075E-3"/>
    <n v="4.1012249913597162E-3"/>
    <n v="-6.4926462117431191E-3"/>
    <n v="3.365846165661792E-3"/>
    <n v="4.4199531508005699E-3"/>
    <n v="2.5248646365346257E-3"/>
    <m/>
    <n v="9752.14"/>
    <n v="10389.799999999999"/>
    <n v="9796.7829999999994"/>
    <n v="10455.23"/>
    <n v="10373.370000000001"/>
    <n v="10483.77"/>
    <n v="10381.040000000001"/>
    <n v="10370.040000000001"/>
    <n v="10389.799999999999"/>
    <n v="0.93622940747283123"/>
    <n v="0.99997112636067009"/>
    <n v="0.9328847985068941"/>
    <n v="0.99997321986206311"/>
    <n v="0.99997011667990532"/>
    <n v="0.99997520037619114"/>
    <n v="0.99997110199646677"/>
    <n v="0.99996914282628568"/>
    <n v="0.99997112636067009"/>
  </r>
  <r>
    <x v="5"/>
    <x v="22"/>
    <x v="22"/>
    <x v="4"/>
    <n v="8597.8999999999978"/>
    <n v="8597.89"/>
    <n v="8789.1980000000003"/>
    <n v="8757.2540000000008"/>
    <n v="8583.9250000000011"/>
    <n v="8775.3510000000006"/>
    <n v="8597.0730000000003"/>
    <n v="8578.0540000000001"/>
    <n v="8597.89"/>
    <n v="1.1630747041020821E-6"/>
    <n v="-2.2249386478093786E-2"/>
    <n v="-1.8534060642715434E-2"/>
    <n v="1.6253968992424579E-3"/>
    <n v="-2.0638876935065865E-2"/>
    <n v="9.6186278044347722E-5"/>
    <n v="2.3082380581302101E-3"/>
    <n v="1.1630747041020821E-6"/>
    <m/>
    <n v="8252.2900000000027"/>
    <n v="8597.6799999999985"/>
    <n v="8397.0159999999996"/>
    <n v="8757.0379999999986"/>
    <n v="8583.6950000000015"/>
    <n v="8775.1459999999988"/>
    <n v="8596.86"/>
    <n v="8577.8169999999991"/>
    <n v="8597.6799999999985"/>
    <n v="0.95980297514509416"/>
    <n v="0.99997557540280224"/>
    <n v="0.95537909147114441"/>
    <n v="0.9999753347339243"/>
    <n v="0.99997320573047888"/>
    <n v="0.99997663911107348"/>
    <n v="0.9999752241256995"/>
    <n v="0.99997237135602068"/>
    <n v="0.99997557540280224"/>
  </r>
  <r>
    <x v="5"/>
    <x v="23"/>
    <x v="23"/>
    <x v="0"/>
    <n v="103597"/>
    <n v="103597"/>
    <n v="103597"/>
    <n v="103597"/>
    <n v="103597"/>
    <n v="103597"/>
    <n v="103597"/>
    <n v="103597"/>
    <n v="103597"/>
    <n v="0"/>
    <n v="0"/>
    <n v="0"/>
    <n v="0"/>
    <n v="0"/>
    <n v="0"/>
    <n v="0"/>
    <n v="0"/>
    <m/>
    <n v="91650.6"/>
    <n v="103596"/>
    <n v="91650.6"/>
    <n v="103596"/>
    <n v="103596"/>
    <n v="103596"/>
    <n v="103596"/>
    <n v="103596"/>
    <n v="103596"/>
    <n v="0.88468391941851598"/>
    <n v="0.99999034721082658"/>
    <n v="0.88468391941851598"/>
    <n v="0.99999034721082658"/>
    <n v="0.99999034721082658"/>
    <n v="0.99999034721082658"/>
    <n v="0.99999034721082658"/>
    <n v="0.99999034721082658"/>
    <n v="0.99999034721082658"/>
  </r>
  <r>
    <x v="5"/>
    <x v="23"/>
    <x v="23"/>
    <x v="1"/>
    <n v="63989"/>
    <n v="63928.5"/>
    <n v="64185.98"/>
    <n v="64080.37000000001"/>
    <n v="63913.19"/>
    <n v="64130.31"/>
    <n v="63912.9"/>
    <n v="63912.959999999999"/>
    <n v="63920.810000000012"/>
    <n v="9.4547500351622939E-4"/>
    <n v="-3.0783415899608246E-3"/>
    <n v="-1.4279016705997889E-3"/>
    <n v="1.1847348763068288E-3"/>
    <n v="-2.2083483098657218E-3"/>
    <n v="1.1892669052493169E-3"/>
    <n v="1.1883292440888415E-3"/>
    <n v="1.0656519089216549E-3"/>
    <m/>
    <n v="58238.400000000001"/>
    <n v="63927.6"/>
    <n v="58360.19"/>
    <n v="64079.21"/>
    <n v="63912.060000000012"/>
    <n v="64129.179999999993"/>
    <n v="63911.80000000001"/>
    <n v="63911.80000000001"/>
    <n v="63919.780000000013"/>
    <n v="0.91013142883933174"/>
    <n v="0.99998592177197965"/>
    <n v="0.90923578638201052"/>
    <n v="0.99998189773248791"/>
    <n v="0.99998231976842356"/>
    <n v="0.99998237962673187"/>
    <n v="0.99998278907700966"/>
    <n v="0.9999818503164305"/>
    <n v="0.99998388631182866"/>
  </r>
  <r>
    <x v="5"/>
    <x v="23"/>
    <x v="23"/>
    <x v="2"/>
    <n v="48007.6"/>
    <n v="47936.7"/>
    <n v="48091.85"/>
    <n v="47974.66"/>
    <n v="47938.37"/>
    <n v="48023.08"/>
    <n v="47936.68"/>
    <n v="47936.09"/>
    <n v="47936.7"/>
    <n v="1.4768494988293824E-3"/>
    <n v="-1.7549304693423541E-3"/>
    <n v="6.8614136095107971E-4"/>
    <n v="1.4420633399710864E-3"/>
    <n v="-3.2244894558368262E-4"/>
    <n v="1.4772660995342041E-3"/>
    <n v="1.4895558203284905E-3"/>
    <n v="1.4768494988293824E-3"/>
    <m/>
    <n v="45083.8"/>
    <n v="47935.7"/>
    <n v="45116.639999999999"/>
    <n v="47973.74"/>
    <n v="47937.440000000002"/>
    <n v="48022.29"/>
    <n v="47935.69"/>
    <n v="47935.13"/>
    <n v="47935.7"/>
    <n v="0.93909714295236602"/>
    <n v="0.99997913915642922"/>
    <n v="0.93813483989490942"/>
    <n v="0.99998082320958592"/>
    <n v="0.99998060009132561"/>
    <n v="0.99998354957657853"/>
    <n v="0.99997934775624853"/>
    <n v="0.99997997333533051"/>
    <n v="0.99997913915642922"/>
  </r>
  <r>
    <x v="5"/>
    <x v="23"/>
    <x v="23"/>
    <x v="3"/>
    <n v="39981.1"/>
    <n v="39951.300000000003"/>
    <n v="40222.1"/>
    <n v="40118.21"/>
    <n v="39959.029999999992"/>
    <n v="40129.629999999997"/>
    <n v="39951.279999999999"/>
    <n v="39947.81"/>
    <n v="39951.300000000003"/>
    <n v="7.4535217890442319E-4"/>
    <n v="-6.0278481582547753E-3"/>
    <n v="-3.429370377503385E-3"/>
    <n v="5.5201082511504153E-4"/>
    <n v="-3.715005340023132E-3"/>
    <n v="7.4585241526620605E-4"/>
    <n v="8.3264342401787028E-4"/>
    <n v="7.4535217890442319E-4"/>
    <m/>
    <n v="38512.099999999991"/>
    <n v="39950.5"/>
    <n v="38647.699999999997"/>
    <n v="40117.490000000013"/>
    <n v="39958.300000000003"/>
    <n v="40129.030000000013"/>
    <n v="39950.480000000003"/>
    <n v="39946.990000000013"/>
    <n v="39950.5"/>
    <n v="0.96325763923453811"/>
    <n v="0.99997997562031771"/>
    <n v="0.96085733962175024"/>
    <n v="0.99998205303776044"/>
    <n v="0.99998173128827228"/>
    <n v="0.99998504845422242"/>
    <n v="0.99997997561029339"/>
    <n v="0.9999794732176811"/>
    <n v="0.99997997562031771"/>
  </r>
  <r>
    <x v="5"/>
    <x v="23"/>
    <x v="23"/>
    <x v="4"/>
    <n v="35987.699999999997"/>
    <n v="35956.9"/>
    <n v="36382.86"/>
    <n v="36309.22"/>
    <n v="35966.480000000003"/>
    <n v="36279.5"/>
    <n v="35956.879999999997"/>
    <n v="35953.699999999997"/>
    <n v="35956.900000000009"/>
    <n v="8.5584797027861285E-4"/>
    <n v="-1.0980418309589207E-2"/>
    <n v="-8.9341636170137042E-3"/>
    <n v="5.8964590679576323E-4"/>
    <n v="-8.1083259002382186E-3"/>
    <n v="8.5640371571397208E-4"/>
    <n v="9.4476723991808323E-4"/>
    <n v="8.5584797027841075E-4"/>
    <m/>
    <n v="35224.900000000009"/>
    <n v="35956.199999999997"/>
    <n v="35525.230000000003"/>
    <n v="36308.65"/>
    <n v="35965.85"/>
    <n v="36279.03"/>
    <n v="35956.199999999997"/>
    <n v="35952.99"/>
    <n v="35956.199999999997"/>
    <n v="0.9788038690997205"/>
    <n v="0.9999805322483305"/>
    <n v="0.97642763652994846"/>
    <n v="0.99998430150799167"/>
    <n v="0.99998248369036935"/>
    <n v="0.99998704502542757"/>
    <n v="0.9999810884592879"/>
    <n v="0.99998025238014454"/>
    <n v="0.99998053224833028"/>
  </r>
  <r>
    <x v="6"/>
    <x v="24"/>
    <x v="24"/>
    <x v="0"/>
    <n v="6327.0899999999992"/>
    <n v="6327.0899999999992"/>
    <n v="6327.0899999999992"/>
    <n v="6327.0899999999992"/>
    <n v="6327.0899999999992"/>
    <n v="6327.0899999999992"/>
    <n v="6327.0899999999992"/>
    <n v="6327.0899999999992"/>
    <n v="6327.0899999999992"/>
    <n v="0"/>
    <n v="0"/>
    <n v="0"/>
    <n v="0"/>
    <n v="0"/>
    <n v="0"/>
    <n v="0"/>
    <n v="0"/>
    <m/>
    <n v="6039.3000000000011"/>
    <n v="6327.0500000000011"/>
    <n v="6039.3000000000011"/>
    <n v="6327.0500000000011"/>
    <n v="6327.0500000000011"/>
    <n v="6327.0500000000011"/>
    <n v="6327.0500000000011"/>
    <n v="6327.0500000000011"/>
    <n v="6327.0500000000011"/>
    <n v="0.9545146346898814"/>
    <n v="0.99999367797834415"/>
    <n v="0.9545146346898814"/>
    <n v="0.99999367797834415"/>
    <n v="0.99999367797834415"/>
    <n v="0.99999367797834415"/>
    <n v="0.99999367797834415"/>
    <n v="0.99999367797834415"/>
    <n v="0.99999367797834415"/>
  </r>
  <r>
    <x v="6"/>
    <x v="24"/>
    <x v="24"/>
    <x v="1"/>
    <n v="3182.79"/>
    <n v="3165.07"/>
    <n v="3188.797"/>
    <n v="3170.7710000000002"/>
    <n v="3179.9830000000002"/>
    <n v="3174.4270000000001"/>
    <n v="3174.2289999999989"/>
    <n v="3182.7269999999999"/>
    <n v="3172.3739999999998"/>
    <n v="5.5674424011636957E-3"/>
    <n v="-1.8873378388143929E-3"/>
    <n v="3.776246626387471E-3"/>
    <n v="8.8193063318654048E-4"/>
    <n v="2.6275688939577631E-3"/>
    <n v="2.6897784648063677E-3"/>
    <n v="1.9793954360828664E-5"/>
    <n v="3.2726004543184336E-3"/>
    <m/>
    <n v="3026.96"/>
    <n v="3164.69"/>
    <n v="3019.777"/>
    <n v="3163.6390000000001"/>
    <n v="3163.59"/>
    <n v="3163.7089999999998"/>
    <n v="3163.6390000000001"/>
    <n v="3163.59"/>
    <n v="3163.7440000000001"/>
    <n v="0.95103981098344537"/>
    <n v="0.99987993946421405"/>
    <n v="0.94699568520667821"/>
    <n v="0.9977507047970352"/>
    <n v="0.99484494099496756"/>
    <n v="0.99662364262904757"/>
    <n v="0.99666375677369257"/>
    <n v="0.99398723170413306"/>
    <n v="0.99727963979026446"/>
  </r>
  <r>
    <x v="6"/>
    <x v="24"/>
    <x v="24"/>
    <x v="2"/>
    <n v="1667.35"/>
    <n v="1667.35"/>
    <n v="1638.6410000000001"/>
    <n v="1598.7149999999999"/>
    <n v="1604.472"/>
    <n v="1625.0709999999999"/>
    <n v="1607.3019999999999"/>
    <n v="1598.998"/>
    <n v="1624.4349999999999"/>
    <n v="0"/>
    <n v="1.7218340480402935E-2"/>
    <n v="4.1164122709689027E-2"/>
    <n v="3.7711338351275936E-2"/>
    <n v="2.5357003628512308E-2"/>
    <n v="3.6014034245959163E-2"/>
    <n v="4.0994392299157266E-2"/>
    <n v="2.5738447236632961E-2"/>
    <m/>
    <n v="1629.61"/>
    <n v="1667.09"/>
    <n v="1535.73"/>
    <n v="1591.8630000000001"/>
    <n v="1583.3820000000001"/>
    <n v="1618.943"/>
    <n v="1596.598"/>
    <n v="1582.9059999999999"/>
    <n v="1622.008"/>
    <n v="0.97736528023510361"/>
    <n v="0.99984406393378711"/>
    <n v="0.9371973482904431"/>
    <n v="0.99571405785271305"/>
    <n v="0.98685548890850083"/>
    <n v="0.99622908783677766"/>
    <n v="0.99334039278243913"/>
    <n v="0.98993619754371165"/>
    <n v="0.99850594206601073"/>
  </r>
  <r>
    <x v="6"/>
    <x v="24"/>
    <x v="24"/>
    <x v="3"/>
    <n v="959.90500000000009"/>
    <n v="959.90500000000009"/>
    <n v="974.57489999999996"/>
    <n v="974.78150000000005"/>
    <n v="959.90500000000009"/>
    <n v="963.85840000000007"/>
    <n v="960.56280000000004"/>
    <n v="959.90500000000009"/>
    <n v="965.22199999999998"/>
    <n v="0"/>
    <n v="-1.5282658179715565E-2"/>
    <n v="-1.5497887811814673E-2"/>
    <n v="0"/>
    <n v="-4.1185325631182121E-3"/>
    <n v="-6.8527614711867517E-4"/>
    <n v="0"/>
    <n v="-5.5390898057619169E-3"/>
    <m/>
    <n v="940.51200000000006"/>
    <n v="959.6450000000001"/>
    <n v="942.75600000000009"/>
    <n v="974.52150000000006"/>
    <n v="959.6450000000001"/>
    <n v="959.6450000000001"/>
    <n v="959.6450000000001"/>
    <n v="959.6450000000001"/>
    <n v="959.6450000000001"/>
    <n v="0.97979695907407505"/>
    <n v="0.99972913986279899"/>
    <n v="0.96735099580340123"/>
    <n v="0.99973327355925401"/>
    <n v="0.99972913986279899"/>
    <n v="0.99562861100759203"/>
    <n v="0.99904451848437192"/>
    <n v="0.99972913986279899"/>
    <n v="0.99422205461541502"/>
  </r>
  <r>
    <x v="6"/>
    <x v="24"/>
    <x v="24"/>
    <x v="4"/>
    <n v="907.44500000000005"/>
    <n v="907.44500000000005"/>
    <n v="907.44500000000005"/>
    <n v="917.06720000000007"/>
    <n v="907.59950000000003"/>
    <n v="914.6653"/>
    <n v="915.18329999999992"/>
    <n v="907.59950000000003"/>
    <n v="918.76899999999989"/>
    <n v="0"/>
    <n v="0"/>
    <n v="-1.060361785011766E-2"/>
    <n v="-1.7025825256625419E-4"/>
    <n v="-7.9567356699303555E-3"/>
    <n v="-8.5275691639712242E-3"/>
    <n v="-1.7025825256625419E-4"/>
    <n v="-1.2478993217219601E-2"/>
    <m/>
    <n v="848.68600000000004"/>
    <n v="907.36699999999996"/>
    <n v="848.68600000000004"/>
    <n v="907.36699999999996"/>
    <n v="907.36699999999996"/>
    <n v="907.36699999999996"/>
    <n v="907.36699999999996"/>
    <n v="907.36699999999996"/>
    <n v="907.36699999999996"/>
    <n v="0.93524786626186707"/>
    <n v="0.9999140443773451"/>
    <n v="0.93524786626186707"/>
    <n v="0.98942258538959837"/>
    <n v="0.99974382973987963"/>
    <n v="0.99202079711562252"/>
    <n v="0.99145930656732928"/>
    <n v="0.99974382973987963"/>
    <n v="0.98758991650784922"/>
  </r>
  <r>
    <x v="6"/>
    <x v="25"/>
    <x v="25"/>
    <x v="0"/>
    <n v="32404.099999999991"/>
    <n v="32404.099999999991"/>
    <n v="32404.099999999991"/>
    <n v="32404.099999999991"/>
    <n v="32404.099999999991"/>
    <n v="32404.099999999991"/>
    <n v="32404.099999999991"/>
    <n v="32404.099999999991"/>
    <n v="32404.099999999991"/>
    <n v="0"/>
    <n v="0"/>
    <n v="0"/>
    <n v="0"/>
    <n v="0"/>
    <n v="0"/>
    <n v="0"/>
    <n v="0"/>
    <m/>
    <n v="31868.900000000009"/>
    <n v="32404.099999999991"/>
    <n v="31868.900000000009"/>
    <n v="32404.099999999991"/>
    <n v="32404.099999999991"/>
    <n v="32404.099999999991"/>
    <n v="32404.099999999991"/>
    <n v="32404.099999999991"/>
    <n v="32404.099999999991"/>
    <n v="0.98348357152335719"/>
    <n v="1"/>
    <n v="0.98348357152335719"/>
    <n v="1"/>
    <n v="1"/>
    <n v="1"/>
    <n v="1"/>
    <n v="1"/>
    <n v="1"/>
  </r>
  <r>
    <x v="6"/>
    <x v="25"/>
    <x v="25"/>
    <x v="1"/>
    <n v="16282.9"/>
    <n v="16234.1"/>
    <n v="16246"/>
    <n v="16222.05"/>
    <n v="16225.6"/>
    <n v="16224.16"/>
    <n v="16219.72"/>
    <n v="16232.65"/>
    <n v="16217.16"/>
    <n v="2.9970091322798318E-3"/>
    <n v="2.2661810856788186E-3"/>
    <n v="3.737049297115401E-3"/>
    <n v="3.5190291655662858E-3"/>
    <n v="3.6074655006171985E-3"/>
    <n v="3.8801442003574479E-3"/>
    <n v="3.0860596085463894E-3"/>
    <n v="4.0373643515589841E-3"/>
    <m/>
    <n v="15942.8"/>
    <n v="16207.6"/>
    <n v="15934.62"/>
    <n v="16202.21"/>
    <n v="16202.1"/>
    <n v="16202.7"/>
    <n v="16202.19"/>
    <n v="16202.1"/>
    <n v="16202.55"/>
    <n v="0.97911305725638553"/>
    <n v="0.99836763356145397"/>
    <n v="0.98083343592268868"/>
    <n v="0.99877697331718251"/>
    <n v="0.99855167143279755"/>
    <n v="0.99867728128913924"/>
    <n v="0.99891921685454499"/>
    <n v="0.99811799059303319"/>
    <n v="0.99909910243223843"/>
  </r>
  <r>
    <x v="6"/>
    <x v="25"/>
    <x v="25"/>
    <x v="2"/>
    <n v="8161.33"/>
    <n v="8116.38"/>
    <n v="8200.6280000000006"/>
    <n v="8133.9120000000012"/>
    <n v="8124.3579999999984"/>
    <n v="8199.7349999999969"/>
    <n v="8125.0300000000007"/>
    <n v="8134.2939999999999"/>
    <n v="8116.38"/>
    <n v="5.5076807334098511E-3"/>
    <n v="-4.8151465508686313E-3"/>
    <n v="3.3595014538070089E-3"/>
    <n v="4.5301439838851725E-3"/>
    <n v="-4.7057281104914295E-3"/>
    <n v="4.4478044632430339E-3"/>
    <n v="3.3126953572518276E-3"/>
    <n v="5.5076807334098511E-3"/>
    <m/>
    <n v="7978.2299999999987"/>
    <n v="8108.12"/>
    <n v="8024.0860000000002"/>
    <n v="8118.9160000000002"/>
    <n v="8101.4369999999999"/>
    <n v="8176.2110000000011"/>
    <n v="8104.1329999999989"/>
    <n v="8101.3059999999996"/>
    <n v="8108.12"/>
    <n v="0.97756493120606547"/>
    <n v="0.99898230491918805"/>
    <n v="0.9784721365241783"/>
    <n v="0.99815636067860081"/>
    <n v="0.99717873092249276"/>
    <n v="0.99713112679861049"/>
    <n v="0.99742807103481446"/>
    <n v="0.99594457736590292"/>
    <n v="0.99898230491918805"/>
  </r>
  <r>
    <x v="6"/>
    <x v="25"/>
    <x v="25"/>
    <x v="3"/>
    <n v="4103.97"/>
    <n v="4109.07"/>
    <n v="4324.8289999999997"/>
    <n v="4350.1849999999986"/>
    <n v="4077.6570000000002"/>
    <n v="4257.1839999999993"/>
    <n v="4105.7749999999996"/>
    <n v="4081.9340000000002"/>
    <n v="4109.07"/>
    <n v="-1.2426991425374585E-3"/>
    <n v="-5.3815939200335151E-2"/>
    <n v="-5.9994346937233538E-2"/>
    <n v="6.4115965759983873E-3"/>
    <n v="-3.7333118906814386E-2"/>
    <n v="-4.3981802985874202E-4"/>
    <n v="5.3694349617565565E-3"/>
    <n v="-1.2426991425374585E-3"/>
    <m/>
    <n v="4068.1799999999989"/>
    <n v="4097.29"/>
    <n v="4281.1869999999999"/>
    <n v="4349.3019999999997"/>
    <n v="4061.6050000000009"/>
    <n v="4242.0749999999998"/>
    <n v="4090.39"/>
    <n v="4058.4380000000001"/>
    <n v="4097.29"/>
    <n v="0.99127917601736826"/>
    <n v="0.9971331712528626"/>
    <n v="0.98990896518683169"/>
    <n v="0.99979702012673044"/>
    <n v="0.99606342563879224"/>
    <n v="0.99645094033990556"/>
    <n v="0.99625283898898509"/>
    <n v="0.99424390497249582"/>
    <n v="0.9971331712528626"/>
  </r>
  <r>
    <x v="6"/>
    <x v="25"/>
    <x v="25"/>
    <x v="4"/>
    <n v="4003.23"/>
    <n v="4003.23"/>
    <n v="4003.23"/>
    <n v="4008.22"/>
    <n v="4003.4100000000012"/>
    <n v="4011.507000000001"/>
    <n v="4006.806"/>
    <n v="4003.4100000000012"/>
    <n v="4007.7819999999988"/>
    <n v="0"/>
    <n v="0"/>
    <n v="-1.2464934565337945E-3"/>
    <n v="-4.4963691819156164E-5"/>
    <n v="-2.0675804288039792E-3"/>
    <n v="-8.9327867746795007E-4"/>
    <n v="-4.4963691819156164E-5"/>
    <n v="-1.1370818064409915E-3"/>
    <m/>
    <n v="3951.4499999999989"/>
    <n v="4003.15"/>
    <n v="3951.4499999999989"/>
    <n v="4003.15"/>
    <n v="4003.15"/>
    <n v="4003.15"/>
    <n v="4003.15"/>
    <n v="4003.15"/>
    <n v="4003.15"/>
    <n v="0.98706544465344204"/>
    <n v="0.99998001613696941"/>
    <n v="0.98706544465344204"/>
    <n v="0.99873509937079308"/>
    <n v="0.99993505536530081"/>
    <n v="0.99791674300954702"/>
    <n v="0.99908755252937131"/>
    <n v="0.99993505536530081"/>
    <n v="0.99884424851451536"/>
  </r>
  <r>
    <x v="6"/>
    <x v="26"/>
    <x v="26"/>
    <x v="0"/>
    <n v="38805.800000000003"/>
    <n v="38805.800000000003"/>
    <n v="38805.800000000003"/>
    <n v="38805.800000000003"/>
    <n v="38805.800000000003"/>
    <n v="38805.800000000003"/>
    <n v="38805.800000000003"/>
    <n v="38805.800000000003"/>
    <n v="38805.800000000003"/>
    <n v="0"/>
    <n v="0"/>
    <n v="0"/>
    <n v="0"/>
    <n v="0"/>
    <n v="0"/>
    <n v="0"/>
    <n v="0"/>
    <m/>
    <n v="37763.800000000003"/>
    <n v="38805.599999999991"/>
    <n v="37763.800000000003"/>
    <n v="38805.599999999991"/>
    <n v="38805.599999999991"/>
    <n v="38805.599999999991"/>
    <n v="38805.599999999991"/>
    <n v="38805.599999999991"/>
    <n v="38805.599999999991"/>
    <n v="0.97314834380427673"/>
    <n v="0.99999484613124812"/>
    <n v="0.97314834380427673"/>
    <n v="0.99999484613124812"/>
    <n v="0.99999484613124812"/>
    <n v="0.99999484613124812"/>
    <n v="0.99999484613124812"/>
    <n v="0.99999484613124812"/>
    <n v="0.99999484613124812"/>
  </r>
  <r>
    <x v="6"/>
    <x v="26"/>
    <x v="26"/>
    <x v="1"/>
    <n v="19552.599999999999"/>
    <n v="19583.599999999999"/>
    <n v="19488.580000000002"/>
    <n v="19436.77"/>
    <n v="19444.79"/>
    <n v="19566.09"/>
    <n v="19444.64"/>
    <n v="19461.54"/>
    <n v="19558.32"/>
    <n v="-1.5854668944283625E-3"/>
    <n v="3.2742448574612482E-3"/>
    <n v="5.9240203348914274E-3"/>
    <n v="5.5138447060747772E-3"/>
    <n v="-6.8993381954326289E-4"/>
    <n v="5.5215163200801496E-3"/>
    <n v="4.6571811421497744E-3"/>
    <n v="-2.9254421406877675E-4"/>
    <m/>
    <n v="18883.5"/>
    <n v="19403.400000000001"/>
    <n v="18881.93"/>
    <n v="19402.89"/>
    <n v="19402.8"/>
    <n v="19402.900000000001"/>
    <n v="19402.89"/>
    <n v="19402.8"/>
    <n v="19402.900000000001"/>
    <n v="0.96577948712703177"/>
    <n v="0.990798423170408"/>
    <n v="0.96887151347096601"/>
    <n v="0.99825691202807865"/>
    <n v="0.9978405526621783"/>
    <n v="0.99165954976185844"/>
    <n v="0.99785287873676243"/>
    <n v="0.99698173936903234"/>
    <n v="0.99205350970840045"/>
  </r>
  <r>
    <x v="6"/>
    <x v="26"/>
    <x v="26"/>
    <x v="2"/>
    <n v="9786.89"/>
    <n v="9806.09"/>
    <n v="9823.2440000000006"/>
    <n v="9743.1080000000002"/>
    <n v="9757.0170000000016"/>
    <n v="9770.8520000000008"/>
    <n v="9776.4689999999991"/>
    <n v="9765.893"/>
    <n v="9806.09"/>
    <n v="-1.9618080922541E-3"/>
    <n v="-3.7145610096773521E-3"/>
    <n v="4.4735355153679305E-3"/>
    <n v="3.0523486010364657E-3"/>
    <n v="1.6387228220608025E-3"/>
    <n v="1.0647917775718618E-3"/>
    <n v="2.1454210683883633E-3"/>
    <n v="-1.9618080922541E-3"/>
    <m/>
    <n v="9446.3500000000022"/>
    <n v="9710.2099999999973"/>
    <n v="9443.5620000000017"/>
    <n v="9703.9009999999998"/>
    <n v="9701.65"/>
    <n v="9729.380000000001"/>
    <n v="9702.8149999999987"/>
    <n v="9701.6179999999986"/>
    <n v="9710.2099999999973"/>
    <n v="0.96520447251374064"/>
    <n v="0.99022240260899064"/>
    <n v="0.96134861355373047"/>
    <n v="0.99597592472545715"/>
    <n v="0.99432541728686119"/>
    <n v="0.99575553902566538"/>
    <n v="0.99246619612868403"/>
    <n v="0.99341842061959906"/>
    <n v="0.99022240260899064"/>
  </r>
  <r>
    <x v="6"/>
    <x v="26"/>
    <x v="26"/>
    <x v="3"/>
    <n v="4992.6900000000014"/>
    <n v="4922.5200000000013"/>
    <n v="4997.0140000000001"/>
    <n v="4959.6629999999996"/>
    <n v="4894.2219999999998"/>
    <n v="5014.5110000000004"/>
    <n v="4912.8229999999994"/>
    <n v="4893.0529999999999"/>
    <n v="4922.5200000000013"/>
    <n v="1.4054547748808769E-2"/>
    <n v="-8.6606618876771909E-4"/>
    <n v="6.6150712341446899E-3"/>
    <n v="1.9722434198798971E-2"/>
    <n v="-4.3705898022907488E-3"/>
    <n v="1.5996787303037437E-2"/>
    <n v="1.9956576514865033E-2"/>
    <n v="1.4054547748808769E-2"/>
    <m/>
    <n v="4744.1000000000004"/>
    <n v="4873.3700000000008"/>
    <n v="4816.7570000000014"/>
    <n v="4939.8940000000011"/>
    <n v="4852.027"/>
    <n v="4977.4009999999998"/>
    <n v="4860.0350000000008"/>
    <n v="4851.3510000000006"/>
    <n v="4873.3700000000008"/>
    <n v="0.95020920585896562"/>
    <n v="0.99001527672817979"/>
    <n v="0.96392705723858318"/>
    <n v="0.99601404369611435"/>
    <n v="0.99137860930705646"/>
    <n v="0.9925994777955417"/>
    <n v="0.9892550576318343"/>
    <n v="0.99147730466030115"/>
    <n v="0.99001527672817979"/>
  </r>
  <r>
    <x v="6"/>
    <x v="26"/>
    <x v="26"/>
    <x v="4"/>
    <n v="2492.5100000000011"/>
    <n v="2488.4899999999989"/>
    <n v="2740.9340000000002"/>
    <n v="2779.8910000000001"/>
    <n v="2460.991"/>
    <n v="2655.26"/>
    <n v="2495.9009999999998"/>
    <n v="2460.6179999999999"/>
    <n v="2488.4899999999989"/>
    <n v="1.6128320448071437E-3"/>
    <n v="-9.9668205945010829E-2"/>
    <n v="-0.11529783230558707"/>
    <n v="1.2645485875684001E-2"/>
    <n v="-6.529562569458057E-2"/>
    <n v="-1.3604759860537012E-3"/>
    <n v="1.2795134222129972E-2"/>
    <n v="1.6128320448071437E-3"/>
    <m/>
    <n v="2447.0700000000002"/>
    <n v="2477.44"/>
    <n v="2688.4380000000001"/>
    <n v="2777.511"/>
    <n v="2435.9690000000001"/>
    <n v="2640.6579999999999"/>
    <n v="2477.44"/>
    <n v="2429.87"/>
    <n v="2477.44"/>
    <n v="0.98176938106567235"/>
    <n v="0.9955595561967302"/>
    <n v="0.98084740457085062"/>
    <n v="0.99914385132366701"/>
    <n v="0.98983255119583946"/>
    <n v="0.99450072685913982"/>
    <n v="0.99260347265376314"/>
    <n v="0.98750395225914789"/>
    <n v="0.9955595561967302"/>
  </r>
  <r>
    <x v="6"/>
    <x v="27"/>
    <x v="27"/>
    <x v="0"/>
    <n v="59148.1"/>
    <n v="59148.1"/>
    <n v="59148.1"/>
    <n v="59148.1"/>
    <n v="59148.1"/>
    <n v="59148.1"/>
    <n v="59148.1"/>
    <n v="59148.1"/>
    <n v="59148.1"/>
    <n v="0"/>
    <n v="0"/>
    <n v="0"/>
    <n v="0"/>
    <n v="0"/>
    <n v="0"/>
    <n v="0"/>
    <n v="0"/>
    <m/>
    <n v="57806.7"/>
    <n v="59147.9"/>
    <n v="57806.7"/>
    <n v="59147.9"/>
    <n v="59147.9"/>
    <n v="59147.9"/>
    <n v="59147.9"/>
    <n v="59147.9"/>
    <n v="59147.9"/>
    <n v="0.97732133407497446"/>
    <n v="0.99999661865723499"/>
    <n v="0.97732133407497446"/>
    <n v="0.99999661865723499"/>
    <n v="0.99999661865723499"/>
    <n v="0.99999661865723499"/>
    <n v="0.99999661865723499"/>
    <n v="0.99999661865723499"/>
    <n v="0.99999661865723499"/>
  </r>
  <r>
    <x v="6"/>
    <x v="27"/>
    <x v="27"/>
    <x v="1"/>
    <n v="29591.599999999991"/>
    <n v="29747.3"/>
    <n v="29675.18"/>
    <n v="29618.52"/>
    <n v="29639.72"/>
    <n v="29739.65"/>
    <n v="29625.51"/>
    <n v="29639.09"/>
    <n v="29713.21"/>
    <n v="-5.2616282999232234E-3"/>
    <n v="-2.8244501818086567E-3"/>
    <n v="-9.0971762256887687E-4"/>
    <n v="-1.6261371470285455E-3"/>
    <n v="-5.00310899038951E-3"/>
    <n v="-1.1459333053977191E-3"/>
    <n v="-1.6048473215374934E-3"/>
    <n v="-4.1096121872425924E-3"/>
    <m/>
    <n v="28903.7"/>
    <n v="29574.799999999999"/>
    <n v="28903.439999999999"/>
    <n v="29574.01"/>
    <n v="29574"/>
    <n v="29574"/>
    <n v="29574"/>
    <n v="29574"/>
    <n v="29574"/>
    <n v="0.97675353816623667"/>
    <n v="0.99420115439048251"/>
    <n v="0.97399375505051689"/>
    <n v="0.99849722403415153"/>
    <n v="0.99778270509977818"/>
    <n v="0.99442999497304096"/>
    <n v="0.99826129575490863"/>
    <n v="0.99780391368290999"/>
    <n v="0.99531487846651379"/>
  </r>
  <r>
    <x v="6"/>
    <x v="27"/>
    <x v="27"/>
    <x v="2"/>
    <n v="14818.9"/>
    <n v="14819.7"/>
    <n v="14953.97"/>
    <n v="14843.26"/>
    <n v="14859.38"/>
    <n v="14895.17"/>
    <n v="14850.14"/>
    <n v="14871.1"/>
    <n v="14820.78"/>
    <n v="-5.3985113604997092E-5"/>
    <n v="-9.1147116182712425E-3"/>
    <n v="-1.6438467092699581E-3"/>
    <n v="-2.7316467484090967E-3"/>
    <n v="-5.1468057683094186E-3"/>
    <n v="-2.1081186862722456E-3"/>
    <n v="-3.5225286627213036E-3"/>
    <n v="-1.2686501697163884E-4"/>
    <m/>
    <n v="14456.4"/>
    <n v="14801.9"/>
    <n v="14455.82"/>
    <n v="14790.36"/>
    <n v="14787.23"/>
    <n v="14822.55"/>
    <n v="14789.51"/>
    <n v="14787.2"/>
    <n v="14800.01"/>
    <n v="0.97553799539776909"/>
    <n v="0.99879889606402283"/>
    <n v="0.96668777588827581"/>
    <n v="0.99643609287986601"/>
    <n v="0.9951444811290916"/>
    <n v="0.99512459407982579"/>
    <n v="0.9959172102081193"/>
    <n v="0.99435818466690429"/>
    <n v="0.99859858927802714"/>
  </r>
  <r>
    <x v="6"/>
    <x v="27"/>
    <x v="27"/>
    <x v="3"/>
    <n v="7467.75"/>
    <n v="7480.6499999999987"/>
    <n v="7561.0299999999988"/>
    <n v="7463.6009999999997"/>
    <n v="7444.1170000000002"/>
    <n v="7706.9339999999993"/>
    <n v="7463.2939999999999"/>
    <n v="7459.1740000000009"/>
    <n v="7480.6499999999987"/>
    <n v="-1.7274279401424428E-3"/>
    <n v="-1.2491044826085346E-2"/>
    <n v="5.5558903284126302E-4"/>
    <n v="3.1646747681697714E-3"/>
    <n v="-3.2028924374811592E-2"/>
    <n v="5.9669913963377602E-4"/>
    <n v="1.1484048073381022E-3"/>
    <n v="-1.7274279401424428E-3"/>
    <m/>
    <n v="7229.01"/>
    <n v="7398.1400000000012"/>
    <n v="7290.4819999999991"/>
    <n v="7432.2369999999992"/>
    <n v="7395.5180000000009"/>
    <n v="7670.054000000001"/>
    <n v="7397.8130000000001"/>
    <n v="7394.0589999999993"/>
    <n v="7398.1400000000012"/>
    <n v="0.96803053128452343"/>
    <n v="0.98897020980797157"/>
    <n v="0.96421810256010099"/>
    <n v="0.99579773891985912"/>
    <n v="0.99347148896235793"/>
    <n v="0.99521469886727998"/>
    <n v="0.99122626014732906"/>
    <n v="0.99127048115515182"/>
    <n v="0.98897020980797157"/>
  </r>
  <r>
    <x v="6"/>
    <x v="27"/>
    <x v="27"/>
    <x v="4"/>
    <n v="3781.1999999999989"/>
    <n v="3760.71"/>
    <n v="4027.174"/>
    <n v="4030.8989999999999"/>
    <n v="3738.7370000000001"/>
    <n v="4112.4160000000002"/>
    <n v="3774.319"/>
    <n v="3742.143"/>
    <n v="3760.71"/>
    <n v="5.4189146302758059E-3"/>
    <n v="-6.5051835396170835E-2"/>
    <n v="-6.6036972389717827E-2"/>
    <n v="1.1230032793821761E-2"/>
    <n v="-8.7595472336824645E-2"/>
    <n v="1.8197926584150404E-3"/>
    <n v="1.0329260552205356E-2"/>
    <n v="5.4189146302758059E-3"/>
    <m/>
    <n v="3732.21"/>
    <n v="3760.08"/>
    <n v="3958.5830000000001"/>
    <n v="4029.4820000000009"/>
    <n v="3712.7190000000001"/>
    <n v="4099.4189999999999"/>
    <n v="3760.08"/>
    <n v="3699.7759999999998"/>
    <n v="3760.08"/>
    <n v="0.9870437956204382"/>
    <n v="0.99983247844157086"/>
    <n v="0.9829679571828781"/>
    <n v="0.9996484655160055"/>
    <n v="0.99304096543832854"/>
    <n v="0.99683957070490914"/>
    <n v="0.99622739890295442"/>
    <n v="0.98867841234287412"/>
    <n v="0.999832478441570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B661B-0AFB-41F1-8D0C-31C5623EAC75}" name="TablaDinámica1" cacheId="43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46" firstHeaderRow="0" firstDataRow="1" firstDataCol="1"/>
  <pivotFields count="40">
    <pivotField axis="axisRow" showAll="0" defaultSubtotal="0">
      <items count="7">
        <item x="4"/>
        <item x="1"/>
        <item x="2"/>
        <item x="6"/>
        <item x="3"/>
        <item x="5"/>
        <item x="0"/>
      </items>
    </pivotField>
    <pivotField axis="axisRow" showAll="0" defaultSubtota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howAll="0" defaultSubtotal="0"/>
    <pivotField axis="axisRow" showAll="0" defaultSubtotal="0">
      <items count="5">
        <item sd="0" x="0"/>
        <item sd="0" x="1"/>
        <item sd="0" x="2"/>
        <item sd="0" x="3"/>
        <item sd="0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numFmtId="10" showAll="0" defaultSubtotal="0"/>
    <pivotField numFmtId="10" showAll="0" defaultSubtotal="0"/>
    <pivotField numFmtId="10" showAll="0" defaultSubtotal="0"/>
    <pivotField numFmtId="10" showAll="0" defaultSubtotal="0"/>
    <pivotField numFmtId="10" showAll="0" defaultSubtotal="0"/>
    <pivotField numFmtId="10" showAll="0" defaultSubtotal="0"/>
    <pivotField numFmtId="1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0" showAll="0" defaultSubtotal="0"/>
    <pivotField dataField="1" numFmtId="10" showAll="0" defaultSubtotal="0"/>
    <pivotField dataField="1" numFmtId="10" showAll="0" defaultSubtotal="0"/>
    <pivotField dataField="1" numFmtId="10" showAll="0" defaultSubtotal="0"/>
    <pivotField dataField="1" numFmtId="10" showAll="0" defaultSubtotal="0"/>
    <pivotField dataField="1" numFmtId="10" showAll="0" defaultSubtotal="0"/>
    <pivotField dataField="1" numFmtId="10" showAll="0" defaultSubtotal="0"/>
    <pivotField dataField="1" numFmtId="10" showAll="0" defaultSubtotal="0"/>
    <pivotField dataField="1" numFmtId="10" showAll="0" defaultSubtotal="0"/>
  </pivotFields>
  <rowFields count="3">
    <field x="0"/>
    <field x="3"/>
    <field x="1"/>
  </rowFields>
  <rowItems count="4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HEFT_NC" fld="31" subtotal="average" baseField="0" baseItem="0" numFmtId="2"/>
    <dataField name="HEFT_DNC" fld="32" subtotal="average" baseField="0" baseItem="0" numFmtId="2"/>
    <dataField name="GA_NC" fld="33" subtotal="average" baseField="0" baseItem="0" numFmtId="2"/>
    <dataField name="GA_DNC" fld="34" subtotal="average" baseField="0" baseItem="0"/>
    <dataField name="HGA_(Ph1)" fld="36" subtotal="average" baseField="0" baseItem="0"/>
    <dataField name="HGA_(Ph2)" fld="35" subtotal="average" baseField="0" baseItem="0"/>
    <dataField name="HGA^H" fld="37" subtotal="average" baseField="0" baseItem="0"/>
    <dataField name="HGA_(Ph1)^H" fld="39" subtotal="average" baseField="0" baseItem="0"/>
    <dataField name="HGA_(Ph2)^H" fld="38" subtotal="average" baseField="0" baseItem="0"/>
  </dataFields>
  <formats count="52">
    <format dxfId="25">
      <pivotArea outline="0" fieldPosition="0">
        <references count="1">
          <reference field="4294967294" count="1">
            <x v="0"/>
          </reference>
        </references>
      </pivotArea>
    </format>
    <format dxfId="26">
      <pivotArea outline="0" fieldPosition="0">
        <references count="1">
          <reference field="4294967294" count="1">
            <x v="1"/>
          </reference>
        </references>
      </pivotArea>
    </format>
    <format dxfId="27">
      <pivotArea outline="0" fieldPosition="0">
        <references count="1">
          <reference field="4294967294" count="1">
            <x v="2"/>
          </reference>
        </references>
      </pivotArea>
    </format>
    <format dxfId="28">
      <pivotArea collapsedLevelsAreSubtotals="1" fieldPosition="0">
        <references count="1">
          <reference field="0" count="1">
            <x v="6"/>
          </reference>
        </references>
      </pivotArea>
    </format>
    <format dxfId="29">
      <pivotArea collapsedLevelsAreSubtotals="1" fieldPosition="0">
        <references count="1">
          <reference field="0" count="1">
            <x v="1"/>
          </reference>
        </references>
      </pivotArea>
    </format>
    <format dxfId="30">
      <pivotArea collapsedLevelsAreSubtotals="1" fieldPosition="0">
        <references count="2">
          <reference field="0" count="1" selected="0">
            <x v="1"/>
          </reference>
          <reference field="3" count="1">
            <x v="0"/>
          </reference>
        </references>
      </pivotArea>
    </format>
    <format dxfId="31">
      <pivotArea collapsedLevelsAreSubtotals="1" fieldPosition="0">
        <references count="3">
          <reference field="0" count="1" selected="0">
            <x v="1"/>
          </reference>
          <reference field="1" count="4">
            <x v="4"/>
            <x v="5"/>
            <x v="6"/>
            <x v="7"/>
          </reference>
          <reference field="3" count="1" selected="0">
            <x v="0"/>
          </reference>
        </references>
      </pivotArea>
    </format>
    <format dxfId="32">
      <pivotArea collapsedLevelsAreSubtotals="1" fieldPosition="0">
        <references count="2">
          <reference field="0" count="1" selected="0">
            <x v="1"/>
          </reference>
          <reference field="3" count="1">
            <x v="1"/>
          </reference>
        </references>
      </pivotArea>
    </format>
    <format dxfId="33">
      <pivotArea collapsedLevelsAreSubtotals="1" fieldPosition="0">
        <references count="2">
          <reference field="0" count="1" selected="0">
            <x v="1"/>
          </reference>
          <reference field="3" count="1">
            <x v="2"/>
          </reference>
        </references>
      </pivotArea>
    </format>
    <format dxfId="34">
      <pivotArea collapsedLevelsAreSubtotals="1" fieldPosition="0">
        <references count="2">
          <reference field="0" count="1" selected="0">
            <x v="1"/>
          </reference>
          <reference field="3" count="1">
            <x v="3"/>
          </reference>
        </references>
      </pivotArea>
    </format>
    <format dxfId="35">
      <pivotArea collapsedLevelsAreSubtotals="1" fieldPosition="0">
        <references count="2">
          <reference field="0" count="1" selected="0">
            <x v="1"/>
          </reference>
          <reference field="3" count="1">
            <x v="4"/>
          </reference>
        </references>
      </pivotArea>
    </format>
    <format dxfId="36">
      <pivotArea collapsedLevelsAreSubtotals="1" fieldPosition="0">
        <references count="1">
          <reference field="0" count="1">
            <x v="2"/>
          </reference>
        </references>
      </pivotArea>
    </format>
    <format dxfId="37">
      <pivotArea collapsedLevelsAreSubtotals="1" fieldPosition="0">
        <references count="2">
          <reference field="0" count="1" selected="0">
            <x v="2"/>
          </reference>
          <reference field="3" count="1">
            <x v="0"/>
          </reference>
        </references>
      </pivotArea>
    </format>
    <format dxfId="38">
      <pivotArea collapsedLevelsAreSubtotals="1" fieldPosition="0">
        <references count="3">
          <reference field="0" count="1" selected="0">
            <x v="2"/>
          </reference>
          <reference field="1" count="4">
            <x v="8"/>
            <x v="9"/>
            <x v="10"/>
            <x v="11"/>
          </reference>
          <reference field="3" count="1" selected="0">
            <x v="0"/>
          </reference>
        </references>
      </pivotArea>
    </format>
    <format dxfId="39">
      <pivotArea collapsedLevelsAreSubtotals="1" fieldPosition="0">
        <references count="2">
          <reference field="0" count="1" selected="0">
            <x v="2"/>
          </reference>
          <reference field="3" count="1">
            <x v="1"/>
          </reference>
        </references>
      </pivotArea>
    </format>
    <format dxfId="40">
      <pivotArea collapsedLevelsAreSubtotals="1" fieldPosition="0">
        <references count="2">
          <reference field="0" count="1" selected="0">
            <x v="2"/>
          </reference>
          <reference field="3" count="1">
            <x v="2"/>
          </reference>
        </references>
      </pivotArea>
    </format>
    <format dxfId="41">
      <pivotArea collapsedLevelsAreSubtotals="1" fieldPosition="0">
        <references count="2">
          <reference field="0" count="1" selected="0">
            <x v="2"/>
          </reference>
          <reference field="3" count="1">
            <x v="3"/>
          </reference>
        </references>
      </pivotArea>
    </format>
    <format dxfId="42">
      <pivotArea collapsedLevelsAreSubtotals="1" fieldPosition="0">
        <references count="2">
          <reference field="0" count="1" selected="0">
            <x v="2"/>
          </reference>
          <reference field="3" count="1">
            <x v="4"/>
          </reference>
        </references>
      </pivotArea>
    </format>
    <format dxfId="43">
      <pivotArea collapsedLevelsAreSubtotals="1" fieldPosition="0">
        <references count="1">
          <reference field="0" count="1">
            <x v="4"/>
          </reference>
        </references>
      </pivotArea>
    </format>
    <format dxfId="44">
      <pivotArea collapsedLevelsAreSubtotals="1" fieldPosition="0">
        <references count="2">
          <reference field="0" count="1" selected="0">
            <x v="4"/>
          </reference>
          <reference field="3" count="1">
            <x v="0"/>
          </reference>
        </references>
      </pivotArea>
    </format>
    <format dxfId="45">
      <pivotArea collapsedLevelsAreSubtotals="1" fieldPosition="0">
        <references count="3">
          <reference field="0" count="1" selected="0">
            <x v="4"/>
          </reference>
          <reference field="1" count="4">
            <x v="12"/>
            <x v="13"/>
            <x v="14"/>
            <x v="15"/>
          </reference>
          <reference field="3" count="1" selected="0">
            <x v="0"/>
          </reference>
        </references>
      </pivotArea>
    </format>
    <format dxfId="46">
      <pivotArea collapsedLevelsAreSubtotals="1" fieldPosition="0">
        <references count="2">
          <reference field="0" count="1" selected="0">
            <x v="4"/>
          </reference>
          <reference field="3" count="1">
            <x v="1"/>
          </reference>
        </references>
      </pivotArea>
    </format>
    <format dxfId="47">
      <pivotArea collapsedLevelsAreSubtotals="1" fieldPosition="0">
        <references count="2">
          <reference field="0" count="1" selected="0">
            <x v="4"/>
          </reference>
          <reference field="3" count="1">
            <x v="2"/>
          </reference>
        </references>
      </pivotArea>
    </format>
    <format dxfId="48">
      <pivotArea collapsedLevelsAreSubtotals="1" fieldPosition="0">
        <references count="2">
          <reference field="0" count="1" selected="0">
            <x v="4"/>
          </reference>
          <reference field="3" count="1">
            <x v="3"/>
          </reference>
        </references>
      </pivotArea>
    </format>
    <format dxfId="49">
      <pivotArea collapsedLevelsAreSubtotals="1" fieldPosition="0">
        <references count="2">
          <reference field="0" count="1" selected="0">
            <x v="4"/>
          </reference>
          <reference field="3" count="1">
            <x v="4"/>
          </reference>
        </references>
      </pivotArea>
    </format>
    <format dxfId="50">
      <pivotArea collapsedLevelsAreSubtotals="1" fieldPosition="0">
        <references count="1">
          <reference field="0" count="1">
            <x v="0"/>
          </reference>
        </references>
      </pivotArea>
    </format>
    <format dxfId="51">
      <pivotArea collapsedLevelsAreSubtotals="1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52">
      <pivotArea collapsedLevelsAreSubtotals="1" fieldPosition="0">
        <references count="3">
          <reference field="0" count="1" selected="0">
            <x v="0"/>
          </reference>
          <reference field="1" count="4">
            <x v="16"/>
            <x v="17"/>
            <x v="18"/>
            <x v="19"/>
          </reference>
          <reference field="3" count="1" selected="0">
            <x v="0"/>
          </reference>
        </references>
      </pivotArea>
    </format>
    <format dxfId="53">
      <pivotArea collapsedLevelsAreSubtotals="1" fieldPosition="0">
        <references count="2">
          <reference field="0" count="1" selected="0">
            <x v="0"/>
          </reference>
          <reference field="3" count="1">
            <x v="1"/>
          </reference>
        </references>
      </pivotArea>
    </format>
    <format dxfId="54">
      <pivotArea collapsedLevelsAreSubtotals="1" fieldPosition="0">
        <references count="2">
          <reference field="0" count="1" selected="0">
            <x v="0"/>
          </reference>
          <reference field="3" count="1">
            <x v="2"/>
          </reference>
        </references>
      </pivotArea>
    </format>
    <format dxfId="55">
      <pivotArea collapsedLevelsAreSubtotals="1" fieldPosition="0">
        <references count="2">
          <reference field="0" count="1" selected="0">
            <x v="0"/>
          </reference>
          <reference field="3" count="1">
            <x v="3"/>
          </reference>
        </references>
      </pivotArea>
    </format>
    <format dxfId="56">
      <pivotArea collapsedLevelsAreSubtotals="1" fieldPosition="0">
        <references count="2">
          <reference field="0" count="1" selected="0">
            <x v="0"/>
          </reference>
          <reference field="3" count="1">
            <x v="4"/>
          </reference>
        </references>
      </pivotArea>
    </format>
    <format dxfId="57">
      <pivotArea collapsedLevelsAreSubtotals="1" fieldPosition="0">
        <references count="1">
          <reference field="0" count="1">
            <x v="5"/>
          </reference>
        </references>
      </pivotArea>
    </format>
    <format dxfId="58">
      <pivotArea collapsedLevelsAreSubtotals="1" fieldPosition="0">
        <references count="2">
          <reference field="0" count="1" selected="0">
            <x v="5"/>
          </reference>
          <reference field="3" count="1">
            <x v="0"/>
          </reference>
        </references>
      </pivotArea>
    </format>
    <format dxfId="59">
      <pivotArea collapsedLevelsAreSubtotals="1" fieldPosition="0">
        <references count="3">
          <reference field="0" count="1" selected="0">
            <x v="5"/>
          </reference>
          <reference field="1" count="4">
            <x v="20"/>
            <x v="21"/>
            <x v="22"/>
            <x v="23"/>
          </reference>
          <reference field="3" count="1" selected="0">
            <x v="0"/>
          </reference>
        </references>
      </pivotArea>
    </format>
    <format dxfId="60">
      <pivotArea collapsedLevelsAreSubtotals="1" fieldPosition="0">
        <references count="2">
          <reference field="0" count="1" selected="0">
            <x v="5"/>
          </reference>
          <reference field="3" count="1">
            <x v="1"/>
          </reference>
        </references>
      </pivotArea>
    </format>
    <format dxfId="61">
      <pivotArea collapsedLevelsAreSubtotals="1" fieldPosition="0">
        <references count="2">
          <reference field="0" count="1" selected="0">
            <x v="5"/>
          </reference>
          <reference field="3" count="1">
            <x v="2"/>
          </reference>
        </references>
      </pivotArea>
    </format>
    <format dxfId="62">
      <pivotArea collapsedLevelsAreSubtotals="1" fieldPosition="0">
        <references count="2">
          <reference field="0" count="1" selected="0">
            <x v="5"/>
          </reference>
          <reference field="3" count="1">
            <x v="3"/>
          </reference>
        </references>
      </pivotArea>
    </format>
    <format dxfId="63">
      <pivotArea collapsedLevelsAreSubtotals="1" fieldPosition="0">
        <references count="2">
          <reference field="0" count="1" selected="0">
            <x v="5"/>
          </reference>
          <reference field="3" count="1">
            <x v="4"/>
          </reference>
        </references>
      </pivotArea>
    </format>
    <format dxfId="64">
      <pivotArea collapsedLevelsAreSubtotals="1" fieldPosition="0">
        <references count="1">
          <reference field="0" count="1">
            <x v="3"/>
          </reference>
        </references>
      </pivotArea>
    </format>
    <format dxfId="65">
      <pivotArea collapsedLevelsAreSubtotals="1" fieldPosition="0">
        <references count="2">
          <reference field="0" count="1" selected="0">
            <x v="3"/>
          </reference>
          <reference field="3" count="1">
            <x v="0"/>
          </reference>
        </references>
      </pivotArea>
    </format>
    <format dxfId="66">
      <pivotArea collapsedLevelsAreSubtotals="1" fieldPosition="0">
        <references count="3">
          <reference field="0" count="1" selected="0">
            <x v="3"/>
          </reference>
          <reference field="1" count="4">
            <x v="24"/>
            <x v="25"/>
            <x v="26"/>
            <x v="27"/>
          </reference>
          <reference field="3" count="1" selected="0">
            <x v="0"/>
          </reference>
        </references>
      </pivotArea>
    </format>
    <format dxfId="67">
      <pivotArea collapsedLevelsAreSubtotals="1" fieldPosition="0">
        <references count="2">
          <reference field="0" count="1" selected="0">
            <x v="3"/>
          </reference>
          <reference field="3" count="1">
            <x v="1"/>
          </reference>
        </references>
      </pivotArea>
    </format>
    <format dxfId="68">
      <pivotArea collapsedLevelsAreSubtotals="1" fieldPosition="0">
        <references count="2">
          <reference field="0" count="1" selected="0">
            <x v="3"/>
          </reference>
          <reference field="3" count="1">
            <x v="2"/>
          </reference>
        </references>
      </pivotArea>
    </format>
    <format dxfId="69">
      <pivotArea collapsedLevelsAreSubtotals="1" fieldPosition="0">
        <references count="2">
          <reference field="0" count="1" selected="0">
            <x v="3"/>
          </reference>
          <reference field="3" count="1">
            <x v="3"/>
          </reference>
        </references>
      </pivotArea>
    </format>
    <format dxfId="70">
      <pivotArea collapsedLevelsAreSubtotals="1" fieldPosition="0">
        <references count="2">
          <reference field="0" count="1" selected="0">
            <x v="3"/>
          </reference>
          <reference field="3" count="1">
            <x v="4"/>
          </reference>
        </references>
      </pivotArea>
    </format>
    <format dxfId="71">
      <pivotArea collapsedLevelsAreSubtotals="1" fieldPosition="0">
        <references count="2">
          <reference field="0" count="1" selected="0">
            <x v="6"/>
          </reference>
          <reference field="3" count="1">
            <x v="0"/>
          </reference>
        </references>
      </pivotArea>
    </format>
    <format dxfId="72">
      <pivotArea collapsedLevelsAreSubtotals="1" fieldPosition="0">
        <references count="2">
          <reference field="0" count="1" selected="0">
            <x v="6"/>
          </reference>
          <reference field="3" count="1">
            <x v="1"/>
          </reference>
        </references>
      </pivotArea>
    </format>
    <format dxfId="73">
      <pivotArea collapsedLevelsAreSubtotals="1" fieldPosition="0">
        <references count="2">
          <reference field="0" count="1" selected="0">
            <x v="6"/>
          </reference>
          <reference field="3" count="1">
            <x v="2"/>
          </reference>
        </references>
      </pivotArea>
    </format>
    <format dxfId="74">
      <pivotArea collapsedLevelsAreSubtotals="1" fieldPosition="0">
        <references count="2">
          <reference field="0" count="1" selected="0">
            <x v="6"/>
          </reference>
          <reference field="3" count="1">
            <x v="3"/>
          </reference>
        </references>
      </pivotArea>
    </format>
    <format dxfId="75">
      <pivotArea collapsedLevelsAreSubtotals="1" fieldPosition="0">
        <references count="2">
          <reference field="0" count="1" selected="0">
            <x v="6"/>
          </reference>
          <reference field="3" count="1">
            <x v="4"/>
          </reference>
        </references>
      </pivotArea>
    </format>
    <format dxfId="76">
      <pivotArea dataOnly="0" labelOnly="1" fieldPosition="0">
        <references count="2">
          <reference field="0" count="1" selected="0">
            <x v="6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4F37A-756E-4E74-B60B-0360F84A3D87}" name="TablaDinámica1" cacheId="430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38" firstHeaderRow="0" firstDataRow="1" firstDataCol="1"/>
  <pivotFields count="40">
    <pivotField axis="axisRow" showAll="0" defaultSubtotal="0">
      <items count="7">
        <item x="0"/>
        <item x="1"/>
        <item x="2"/>
        <item x="3"/>
        <item x="4"/>
        <item x="5"/>
        <item x="6"/>
      </items>
    </pivotField>
    <pivotField showAll="0" defaultSubtotal="0"/>
    <pivotField showAll="0" defaultSubtotal="0"/>
    <pivotField axis="axisRow" showAll="0" defaultSubtotal="0">
      <items count="5">
        <item h="1" x="0"/>
        <item x="1"/>
        <item x="2"/>
        <item x="3"/>
        <item x="4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dataField="1" numFmtId="10" subtotalTop="0" showAll="0" defaultSubtotal="0"/>
    <pivotField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  <pivotField numFmtId="10" subtotalTop="0" showAll="0" defaultSubtotal="0"/>
  </pivotFields>
  <rowFields count="2">
    <field x="0"/>
    <field x="3"/>
  </rowFields>
  <rowItems count="35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>
      <x v="6"/>
    </i>
    <i r="1">
      <x v="1"/>
    </i>
    <i r="1">
      <x v="2"/>
    </i>
    <i r="1">
      <x v="3"/>
    </i>
    <i r="1">
      <x v="4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HEFT_DNC" fld="13" subtotal="average" baseField="0" baseItem="0" numFmtId="10"/>
    <dataField name="GA_NC" fld="14" subtotal="average" baseField="0" baseItem="0" numFmtId="10"/>
    <dataField name="GA_DNC" fld="15" subtotal="average" baseField="0" baseItem="0" numFmtId="10"/>
    <dataField name="HGA_(Ph1)" fld="17" subtotal="average" baseField="0" baseItem="0" numFmtId="10"/>
    <dataField name="HGA_(Ph2)" fld="16" subtotal="average" baseField="0" baseItem="0" numFmtId="10"/>
    <dataField name="GA^H" fld="18" subtotal="average" baseField="0" baseItem="0" numFmtId="10"/>
    <dataField name="HGA_(Ph1)^H" fld="20" subtotal="average" baseField="0" baseItem="0" numFmtId="10"/>
    <dataField name="HGA_(Ph2)^H" fld="19" subtotal="average" baseField="0" baseItem="0" numFmtId="10"/>
  </dataFields>
  <conditionalFormats count="1">
    <conditionalFormat priority="1">
      <pivotAreas count="13">
        <pivotArea type="data" collapsedLevelsAreSubtotals="1" fieldPosition="0">
          <references count="2">
            <reference field="0" count="1" selected="0">
              <x v="0"/>
            </reference>
            <reference field="3" count="4"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1">
            <reference field="0" count="1">
              <x v="1"/>
            </reference>
          </references>
        </pivotArea>
        <pivotArea type="data" collapsedLevelsAreSubtotals="1" fieldPosition="0">
          <references count="2">
            <reference field="0" count="1" selected="0">
              <x v="1"/>
            </reference>
            <reference field="3" count="4"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1">
            <reference field="0" count="1">
              <x v="2"/>
            </reference>
          </references>
        </pivotArea>
        <pivotArea type="data" collapsedLevelsAreSubtotals="1" fieldPosition="0">
          <references count="2">
            <reference field="0" count="1" selected="0">
              <x v="2"/>
            </reference>
            <reference field="3" count="4"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1">
            <reference field="0" count="1">
              <x v="3"/>
            </reference>
          </references>
        </pivotArea>
        <pivotArea type="data" collapsedLevelsAreSubtotals="1" fieldPosition="0">
          <references count="2">
            <reference field="0" count="1" selected="0">
              <x v="3"/>
            </reference>
            <reference field="3" count="4"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1">
            <reference field="0" count="1">
              <x v="4"/>
            </reference>
          </references>
        </pivotArea>
        <pivotArea type="data" collapsedLevelsAreSubtotals="1" fieldPosition="0">
          <references count="2">
            <reference field="0" count="1" selected="0">
              <x v="4"/>
            </reference>
            <reference field="3" count="4"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1">
            <reference field="0" count="1">
              <x v="5"/>
            </reference>
          </references>
        </pivotArea>
        <pivotArea type="data" collapsedLevelsAreSubtotals="1" fieldPosition="0">
          <references count="2">
            <reference field="0" count="1" selected="0">
              <x v="5"/>
            </reference>
            <reference field="3" count="4">
              <x v="1"/>
              <x v="2"/>
              <x v="3"/>
              <x v="4"/>
            </reference>
          </references>
        </pivotArea>
        <pivotArea type="data" collapsedLevelsAreSubtotals="1" fieldPosition="0">
          <references count="1">
            <reference field="0" count="1">
              <x v="6"/>
            </reference>
          </references>
        </pivotArea>
        <pivotArea type="data" collapsedLevelsAreSubtotals="1" fieldPosition="0">
          <references count="2">
            <reference field="0" count="1" selected="0">
              <x v="6"/>
            </reference>
            <reference field="3" count="4"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152CE-F2EF-4C93-AC4E-79131B9E96BD}" name="Tabla13" displayName="Tabla13" ref="A1:AM141" totalsRowShown="0" headerRowDxfId="21" dataDxfId="20" dataCellStyle="Porcentaje">
  <autoFilter ref="A1:AM141" xr:uid="{00A90136-C756-4760-A037-EEE816112286}"/>
  <sortState xmlns:xlrd2="http://schemas.microsoft.com/office/spreadsheetml/2017/richdata2" ref="B2:AD141">
    <sortCondition ref="B1:B141"/>
  </sortState>
  <tableColumns count="39">
    <tableColumn id="13" xr3:uid="{685DFCD7-4A3C-48A6-BCD5-5C0FB0829919}" name="Problem" dataDxfId="19" dataCellStyle="Porcentaje">
      <calculatedColumnFormula>LEFT(B2,FIND("-",B2)-1)</calculatedColumnFormula>
    </tableColumn>
    <tableColumn id="1" xr3:uid="{8F26906F-F0D9-4FC0-AB61-C251CCAEF3A2}" name="Benchmark"/>
    <tableColumn id="14" xr3:uid="{8BBA0408-6AB6-44AF-9490-7E235F9484FA}" name="Tasks" dataDxfId="18">
      <calculatedColumnFormula>_xlfn.XLOOKUP(B2,Instances!$B$2:$B$29,Instances!$A$2:$A$29,,0,1)</calculatedColumnFormula>
    </tableColumn>
    <tableColumn id="2" xr3:uid="{29171297-0DB9-45F1-8A27-934CB4EB1B24}" name="Hosts"/>
    <tableColumn id="37" xr3:uid="{94D2A1F1-A054-4B2C-A71C-A3E870492E31}" name="Real HEFT_NC"/>
    <tableColumn id="36" xr3:uid="{A76DABA4-C540-48E6-AFBB-7539F4DB63C5}" name="Real HEFT_DNC"/>
    <tableColumn id="32" xr3:uid="{DB394570-20D5-4E59-A071-E1E7FEF6EBB5}" name="Real GA_NC"/>
    <tableColumn id="3" xr3:uid="{E4A1EF3F-DD01-4E32-BA32-71741F83514D}" name="Real GA_DNC"/>
    <tableColumn id="4" xr3:uid="{54DFFBEE-AE50-4061-BFB6-C57462DAE9BB}" name="Real HGA_(Ph2)"/>
    <tableColumn id="5" xr3:uid="{767F2232-8CBD-4010-B282-29242773CF66}" name="Real HGA_(Ph1)"/>
    <tableColumn id="6" xr3:uid="{3BADCCAE-A87F-4125-9B5E-6149FD74F44B}" name="Real GA^H"/>
    <tableColumn id="21" xr3:uid="{8CCFCFFB-6997-4223-8E0C-724FBF7C2BB7}" name="Real HGA_(Ph2)^H"/>
    <tableColumn id="41" xr3:uid="{6C287278-CA9F-4939-962E-39A5269191EB}" name="Real HGA_(Ph1)^H"/>
    <tableColumn id="40" xr3:uid="{3A798C60-3778-4BCB-8544-FBADA5E2C2EE}" name="HEFT_DNC vs HEFT_NC" dataDxfId="17">
      <calculatedColumnFormula>(($E2-F2)/$E2)</calculatedColumnFormula>
    </tableColumn>
    <tableColumn id="45" xr3:uid="{86DE0010-F355-42A9-A7C4-A3986B354B69}" name="GA_NC vs HEFT_NC" dataDxfId="16">
      <calculatedColumnFormula>(($E2-G2)/$E2)</calculatedColumnFormula>
    </tableColumn>
    <tableColumn id="33" xr3:uid="{A3A77DE1-9986-4144-AD89-5CA547794BDA}" name="GA_DNC vs HEFT_NC" dataDxfId="15">
      <calculatedColumnFormula>(($E2-H2)/$E2)</calculatedColumnFormula>
    </tableColumn>
    <tableColumn id="7" xr3:uid="{B70C14B8-B3AF-44BF-B7AA-67EF5DD6B2E2}" name="HGA_(Ph2) vs HEFT_NC" dataDxfId="14" dataCellStyle="Porcentaje">
      <calculatedColumnFormula>(($E2-I2)/$E2)</calculatedColumnFormula>
    </tableColumn>
    <tableColumn id="8" xr3:uid="{CF4FB184-335E-4293-9A13-9EFE3D031847}" name="HGA_(Ph1) vs HEFT_NC" dataDxfId="13" dataCellStyle="Porcentaje">
      <calculatedColumnFormula>(($E2-J2)/$E2)</calculatedColumnFormula>
    </tableColumn>
    <tableColumn id="9" xr3:uid="{71911C89-E5E8-4919-AF78-4189558361B3}" name="GA^H vs HEDT_NC" dataDxfId="12" dataCellStyle="Porcentaje">
      <calculatedColumnFormula>(($E2-K2)/$E2)</calculatedColumnFormula>
    </tableColumn>
    <tableColumn id="23" xr3:uid="{7DFB318A-3CE4-4D85-B2B9-51A0E89468AA}" name="HGA_(Ph2)^H vs HEFT_NC" dataDxfId="11" dataCellStyle="Porcentaje">
      <calculatedColumnFormula>(($E2-L2)/$E2)</calculatedColumnFormula>
    </tableColumn>
    <tableColumn id="44" xr3:uid="{817FC240-C55C-411E-8C73-BDC7FE472504}" name="HGA_(Ph1)^H vs HEFT_NC" dataDxfId="10" dataCellStyle="Porcentaje">
      <calculatedColumnFormula>(($E2-M2)/$E2)</calculatedColumnFormula>
    </tableColumn>
    <tableColumn id="35" xr3:uid="{138C4C7D-ADDD-4BAD-8F79-AF620E505E97}" name="Calculated HEFT_NC"/>
    <tableColumn id="34" xr3:uid="{C6529275-DB07-408F-B56D-C0FCE39D13EB}" name="Calculated HEFT_DNC"/>
    <tableColumn id="30" xr3:uid="{939FA4AC-67C3-4AA4-BD7B-ECCA4825C4B0}" name="Calculated GA_NC"/>
    <tableColumn id="11" xr3:uid="{4A48A257-CFE8-4A44-97DF-1E805E993060}" name="Calculated GA_DNC"/>
    <tableColumn id="12" xr3:uid="{39D51E63-FD62-4ED4-825C-29E212D53057}" name="Calculated HGA_(Ph2)"/>
    <tableColumn id="19" xr3:uid="{E57C8C22-B787-47D4-851A-7016B671C280}" name="Calculated HGA_(Ph1)"/>
    <tableColumn id="20" xr3:uid="{DE8B9254-CD9F-465A-B17D-5AF892F3E3DC}" name="Calculated HGA^H"/>
    <tableColumn id="18" xr3:uid="{1EA221B6-2FAE-4D68-9915-38625785358F}" name="Calculated HGA_(Ph2)^H"/>
    <tableColumn id="42" xr3:uid="{5E001BBE-6092-4BDD-949C-DE3F9DBF64AF}" name="Calculated HGA_(Ph1)^H"/>
    <tableColumn id="46" xr3:uid="{2B5A588E-BC5D-4841-B8C2-D434596FC538}" name="accuracy HEFT_NC" dataDxfId="9" dataCellStyle="Porcentaje">
      <calculatedColumnFormula>Tabla13[[#This Row],[Calculated HEFT_NC]]/Tabla13[[#This Row],[Real HEFT_NC]]</calculatedColumnFormula>
    </tableColumn>
    <tableColumn id="48" xr3:uid="{F58247D4-E05E-4999-BAA8-F15877F663ED}" name="accuracy HEFT_DNC" dataDxfId="8" dataCellStyle="Porcentaje">
      <calculatedColumnFormula>Tabla13[[#This Row],[Calculated HEFT_DNC]]/Tabla13[[#This Row],[Real HEFT_DNC]]</calculatedColumnFormula>
    </tableColumn>
    <tableColumn id="49" xr3:uid="{DD85BC11-459C-486C-81BA-CCB93BFC6066}" name="accuracy GA_NC" dataDxfId="7" dataCellStyle="Porcentaje">
      <calculatedColumnFormula>Tabla13[[#This Row],[Calculated GA_NC]]/Tabla13[[#This Row],[Real GA_NC]]</calculatedColumnFormula>
    </tableColumn>
    <tableColumn id="50" xr3:uid="{4D4C842F-C372-4B54-8E00-9E3BF11B70CF}" name="accuracy GA_DNC" dataDxfId="6" dataCellStyle="Porcentaje">
      <calculatedColumnFormula>Tabla13[[#This Row],[Calculated GA_DNC]]/Tabla13[[#This Row],[Real GA_DNC]]</calculatedColumnFormula>
    </tableColumn>
    <tableColumn id="51" xr3:uid="{7B16C24F-F118-4214-A69A-ED2D183188E2}" name="accuracy HGA_(Ph2)" dataDxfId="5" dataCellStyle="Porcentaje">
      <calculatedColumnFormula>Tabla13[[#This Row],[Calculated HGA_(Ph2)]]/Tabla13[[#This Row],[Real HGA_(Ph2)]]</calculatedColumnFormula>
    </tableColumn>
    <tableColumn id="52" xr3:uid="{CAC5F929-564F-4FB5-8CCD-AB55047F3B5D}" name="accuracy HGA_(Ph1)" dataDxfId="4" dataCellStyle="Porcentaje">
      <calculatedColumnFormula>Tabla13[[#This Row],[Calculated HGA_(Ph1)]]/Tabla13[[#This Row],[Real HGA_(Ph1)]]</calculatedColumnFormula>
    </tableColumn>
    <tableColumn id="53" xr3:uid="{69525071-20CD-4C7F-9FA9-3279DCA45BE4}" name="accuracy HGA^H" dataDxfId="3" dataCellStyle="Porcentaje">
      <calculatedColumnFormula>Tabla13[[#This Row],[Calculated HGA^H]]/Tabla13[[#This Row],[Real GA^H]]</calculatedColumnFormula>
    </tableColumn>
    <tableColumn id="54" xr3:uid="{6B6BF976-2EDD-4DD9-BD0E-FEEDF67FA46F}" name="accuracy HGA_(Ph2)^H" dataDxfId="2" dataCellStyle="Porcentaje">
      <calculatedColumnFormula>Tabla13[[#This Row],[Calculated HGA_(Ph2)^H]]/Tabla13[[#This Row],[Real HGA_(Ph2)^H]]</calculatedColumnFormula>
    </tableColumn>
    <tableColumn id="55" xr3:uid="{7632AE20-3752-478F-8E73-97A96B80C0DF}" name="accuracy HGA_(Ph1)^H" dataDxfId="1" dataCellStyle="Porcentaje">
      <calculatedColumnFormula>Tabla13[[#This Row],[Calculated HGA_(Ph1)^H]]/Tabla13[[#This Row],[Real HGA_(Ph1)^H]]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3BFC-110F-46F8-B0F6-93A043F439DC}">
  <dimension ref="A1:B29"/>
  <sheetViews>
    <sheetView workbookViewId="0"/>
  </sheetViews>
  <sheetFormatPr defaultColWidth="11.42578125" defaultRowHeight="15"/>
  <cols>
    <col min="2" max="2" width="41.5703125" bestFit="1" customWidth="1"/>
  </cols>
  <sheetData>
    <row r="1" spans="1:2">
      <c r="A1" s="10" t="s">
        <v>0</v>
      </c>
      <c r="B1" s="10" t="s">
        <v>1</v>
      </c>
    </row>
    <row r="2" spans="1:2">
      <c r="A2">
        <v>492</v>
      </c>
      <c r="B2" t="s">
        <v>2</v>
      </c>
    </row>
    <row r="3" spans="1:2">
      <c r="A3">
        <v>738</v>
      </c>
      <c r="B3" t="s">
        <v>3</v>
      </c>
    </row>
    <row r="4" spans="1:2">
      <c r="A4">
        <v>82</v>
      </c>
      <c r="B4" t="s">
        <v>4</v>
      </c>
    </row>
    <row r="5" spans="1:2">
      <c r="A5">
        <v>164</v>
      </c>
      <c r="B5" t="s">
        <v>5</v>
      </c>
    </row>
    <row r="6" spans="1:2">
      <c r="A6">
        <v>67</v>
      </c>
      <c r="B6" t="s">
        <v>6</v>
      </c>
    </row>
    <row r="7" spans="1:2">
      <c r="A7">
        <v>437</v>
      </c>
      <c r="B7" t="s">
        <v>7</v>
      </c>
    </row>
    <row r="8" spans="1:2">
      <c r="A8">
        <v>133</v>
      </c>
      <c r="B8" t="s">
        <v>8</v>
      </c>
    </row>
    <row r="9" spans="1:2">
      <c r="A9">
        <v>1091</v>
      </c>
      <c r="B9" t="s">
        <v>9</v>
      </c>
    </row>
    <row r="10" spans="1:2">
      <c r="A10">
        <v>41</v>
      </c>
      <c r="B10" t="s">
        <v>10</v>
      </c>
    </row>
    <row r="11" spans="1:2">
      <c r="A11">
        <v>125</v>
      </c>
      <c r="B11" t="s">
        <v>11</v>
      </c>
    </row>
    <row r="12" spans="1:2">
      <c r="A12">
        <v>507</v>
      </c>
      <c r="B12" t="s">
        <v>12</v>
      </c>
    </row>
    <row r="13" spans="1:2">
      <c r="A13">
        <v>863</v>
      </c>
      <c r="B13" t="s">
        <v>13</v>
      </c>
    </row>
    <row r="14" spans="1:2">
      <c r="A14">
        <v>58</v>
      </c>
      <c r="B14" t="s">
        <v>14</v>
      </c>
    </row>
    <row r="15" spans="1:2">
      <c r="A15">
        <v>103</v>
      </c>
      <c r="B15" t="s">
        <v>15</v>
      </c>
    </row>
    <row r="16" spans="1:2">
      <c r="A16">
        <v>472</v>
      </c>
      <c r="B16" t="s">
        <v>16</v>
      </c>
    </row>
    <row r="17" spans="1:2">
      <c r="A17">
        <v>1066</v>
      </c>
      <c r="B17" t="s">
        <v>17</v>
      </c>
    </row>
    <row r="18" spans="1:2">
      <c r="A18">
        <v>101</v>
      </c>
      <c r="B18" t="s">
        <v>18</v>
      </c>
    </row>
    <row r="19" spans="1:2">
      <c r="A19">
        <v>501</v>
      </c>
      <c r="B19" t="s">
        <v>19</v>
      </c>
    </row>
    <row r="20" spans="1:2">
      <c r="A20">
        <v>701</v>
      </c>
      <c r="B20" t="s">
        <v>20</v>
      </c>
    </row>
    <row r="21" spans="1:2">
      <c r="A21">
        <v>1001</v>
      </c>
      <c r="B21" t="s">
        <v>21</v>
      </c>
    </row>
    <row r="22" spans="1:2">
      <c r="A22">
        <v>96</v>
      </c>
      <c r="B22" t="s">
        <v>22</v>
      </c>
    </row>
    <row r="23" spans="1:2">
      <c r="A23">
        <v>156</v>
      </c>
      <c r="B23" t="s">
        <v>23</v>
      </c>
    </row>
    <row r="24" spans="1:2">
      <c r="A24">
        <v>256</v>
      </c>
      <c r="B24" t="s">
        <v>24</v>
      </c>
    </row>
    <row r="25" spans="1:2">
      <c r="A25">
        <v>546</v>
      </c>
      <c r="B25" t="s">
        <v>25</v>
      </c>
    </row>
    <row r="26" spans="1:2">
      <c r="A26">
        <v>22</v>
      </c>
      <c r="B26" t="s">
        <v>26</v>
      </c>
    </row>
    <row r="27" spans="1:2">
      <c r="A27">
        <v>42</v>
      </c>
      <c r="B27" t="s">
        <v>27</v>
      </c>
    </row>
    <row r="28" spans="1:2">
      <c r="A28">
        <v>84</v>
      </c>
      <c r="B28" t="s">
        <v>28</v>
      </c>
    </row>
    <row r="29" spans="1:2">
      <c r="A29">
        <v>104</v>
      </c>
      <c r="B2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1B41-274F-4C47-9A7D-3A144956A1DA}">
  <dimension ref="A1:AM143"/>
  <sheetViews>
    <sheetView tabSelected="1" zoomScale="85" zoomScaleNormal="85" workbookViewId="0">
      <selection activeCell="V1" sqref="V1"/>
    </sheetView>
  </sheetViews>
  <sheetFormatPr defaultColWidth="9.140625" defaultRowHeight="15"/>
  <cols>
    <col min="1" max="1" width="13.42578125" bestFit="1" customWidth="1"/>
    <col min="2" max="2" width="43.140625" bestFit="1" customWidth="1"/>
    <col min="3" max="3" width="11.28515625" bestFit="1" customWidth="1"/>
    <col min="4" max="5" width="11.28515625" customWidth="1"/>
    <col min="6" max="6" width="15.5703125" customWidth="1"/>
    <col min="7" max="8" width="12.7109375" customWidth="1"/>
    <col min="9" max="11" width="12.7109375" style="1" customWidth="1"/>
    <col min="12" max="19" width="12.7109375" customWidth="1"/>
    <col min="20" max="22" width="12.7109375" style="1" customWidth="1"/>
    <col min="23" max="40" width="12.7109375" customWidth="1"/>
  </cols>
  <sheetData>
    <row r="1" spans="1:39" ht="45">
      <c r="A1" s="9" t="s">
        <v>30</v>
      </c>
      <c r="B1" s="9" t="s">
        <v>31</v>
      </c>
      <c r="C1" s="9" t="s">
        <v>0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9" t="s">
        <v>39</v>
      </c>
      <c r="L1" s="9" t="s">
        <v>40</v>
      </c>
      <c r="M1" s="9" t="s">
        <v>41</v>
      </c>
      <c r="N1" s="9" t="s">
        <v>42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9" t="s">
        <v>50</v>
      </c>
      <c r="W1" s="9" t="s">
        <v>51</v>
      </c>
      <c r="X1" s="9" t="s">
        <v>52</v>
      </c>
      <c r="Y1" s="9" t="s">
        <v>53</v>
      </c>
      <c r="Z1" s="9" t="s">
        <v>54</v>
      </c>
      <c r="AA1" s="9" t="s">
        <v>55</v>
      </c>
      <c r="AB1" s="9" t="s">
        <v>56</v>
      </c>
      <c r="AC1" s="9" t="s">
        <v>57</v>
      </c>
      <c r="AD1" s="9" t="s">
        <v>58</v>
      </c>
      <c r="AE1" s="9" t="s">
        <v>59</v>
      </c>
      <c r="AF1" s="9" t="s">
        <v>60</v>
      </c>
      <c r="AG1" s="9" t="s">
        <v>61</v>
      </c>
      <c r="AH1" s="9" t="s">
        <v>62</v>
      </c>
      <c r="AI1" s="9" t="s">
        <v>63</v>
      </c>
      <c r="AJ1" s="9" t="s">
        <v>64</v>
      </c>
      <c r="AK1" s="9" t="s">
        <v>65</v>
      </c>
      <c r="AL1" s="9" t="s">
        <v>66</v>
      </c>
      <c r="AM1" s="9" t="s">
        <v>67</v>
      </c>
    </row>
    <row r="2" spans="1:39">
      <c r="A2" s="6" t="str">
        <f t="shared" ref="A2:A33" si="0">LEFT(B2,FIND("-",B2)-1)</f>
        <v>1000genome</v>
      </c>
      <c r="B2" t="s">
        <v>2</v>
      </c>
      <c r="C2">
        <f>_xlfn.XLOOKUP(B2,Instances!$B$2:$B$29,Instances!$A$2:$A$29,,0,1)</f>
        <v>492</v>
      </c>
      <c r="D2">
        <v>1</v>
      </c>
      <c r="E2">
        <v>34863.400000000009</v>
      </c>
      <c r="F2">
        <v>34863.400000000009</v>
      </c>
      <c r="G2">
        <v>34863.400000000009</v>
      </c>
      <c r="H2">
        <v>34863.400000000009</v>
      </c>
      <c r="I2">
        <v>34863.400000000009</v>
      </c>
      <c r="J2">
        <v>34863.400000000009</v>
      </c>
      <c r="K2">
        <v>34863.400000000009</v>
      </c>
      <c r="L2">
        <v>34863.400000000009</v>
      </c>
      <c r="M2">
        <v>34863.400000000009</v>
      </c>
      <c r="N2" s="1">
        <f t="shared" ref="N2:P33" si="1">(($E2-F2)/$E2)</f>
        <v>0</v>
      </c>
      <c r="O2" s="1">
        <f>(($E2-G2)/$E2)</f>
        <v>0</v>
      </c>
      <c r="P2" s="1">
        <f t="shared" si="1"/>
        <v>0</v>
      </c>
      <c r="Q2" s="1">
        <f t="shared" ref="Q2:R33" si="2">(($E2-I2)/$E2)</f>
        <v>0</v>
      </c>
      <c r="R2" s="1">
        <f t="shared" si="2"/>
        <v>0</v>
      </c>
      <c r="S2" s="1">
        <f t="shared" ref="S2:S33" si="3">(($E2-K2)/$E2)</f>
        <v>0</v>
      </c>
      <c r="T2" s="1">
        <f t="shared" ref="T2:T33" si="4">(($E2-L2)/$E2)</f>
        <v>0</v>
      </c>
      <c r="U2" s="1">
        <f t="shared" ref="U2:U33" si="5">(($E2-M2)/$E2)</f>
        <v>0</v>
      </c>
      <c r="V2">
        <v>28130.2</v>
      </c>
      <c r="W2">
        <v>34863.300000000003</v>
      </c>
      <c r="X2">
        <v>28130.2</v>
      </c>
      <c r="Y2">
        <v>34863.300000000003</v>
      </c>
      <c r="Z2">
        <v>34863.300000000003</v>
      </c>
      <c r="AA2">
        <v>34863.300000000003</v>
      </c>
      <c r="AB2">
        <v>34863.300000000003</v>
      </c>
      <c r="AC2">
        <v>34863.300000000003</v>
      </c>
      <c r="AD2">
        <v>34863.300000000003</v>
      </c>
      <c r="AE2" s="6">
        <f>Tabla13[[#This Row],[Calculated HEFT_NC]]/Tabla13[[#This Row],[Real HEFT_NC]]</f>
        <v>0.80686909481002977</v>
      </c>
      <c r="AF2" s="6">
        <f>Tabla13[[#This Row],[Calculated HEFT_DNC]]/Tabla13[[#This Row],[Real HEFT_DNC]]</f>
        <v>0.99999713166243087</v>
      </c>
      <c r="AG2" s="6">
        <f>Tabla13[[#This Row],[Calculated GA_NC]]/Tabla13[[#This Row],[Real GA_NC]]</f>
        <v>0.80686909481002977</v>
      </c>
      <c r="AH2" s="6">
        <f>Tabla13[[#This Row],[Calculated GA_DNC]]/Tabla13[[#This Row],[Real GA_DNC]]</f>
        <v>0.99999713166243087</v>
      </c>
      <c r="AI2" s="6">
        <f>Tabla13[[#This Row],[Calculated HGA_(Ph2)]]/Tabla13[[#This Row],[Real HGA_(Ph2)]]</f>
        <v>0.99999713166243087</v>
      </c>
      <c r="AJ2" s="6">
        <f>Tabla13[[#This Row],[Calculated HGA_(Ph1)]]/Tabla13[[#This Row],[Real HGA_(Ph1)]]</f>
        <v>0.99999713166243087</v>
      </c>
      <c r="AK2" s="6">
        <f>Tabla13[[#This Row],[Calculated HGA^H]]/Tabla13[[#This Row],[Real GA^H]]</f>
        <v>0.99999713166243087</v>
      </c>
      <c r="AL2" s="6">
        <f>Tabla13[[#This Row],[Calculated HGA_(Ph2)^H]]/Tabla13[[#This Row],[Real HGA_(Ph2)^H]]</f>
        <v>0.99999713166243087</v>
      </c>
      <c r="AM2" s="6">
        <f>Tabla13[[#This Row],[Calculated HGA_(Ph1)^H]]/Tabla13[[#This Row],[Real HGA_(Ph1)^H]]</f>
        <v>0.99999713166243087</v>
      </c>
    </row>
    <row r="3" spans="1:39">
      <c r="A3" s="6" t="str">
        <f t="shared" si="0"/>
        <v>1000genome</v>
      </c>
      <c r="B3" t="s">
        <v>2</v>
      </c>
      <c r="C3">
        <f>_xlfn.XLOOKUP(B3,Instances!$B$2:$B$29,Instances!$A$2:$A$29,,0,1)</f>
        <v>492</v>
      </c>
      <c r="D3">
        <v>2</v>
      </c>
      <c r="E3">
        <v>17473</v>
      </c>
      <c r="F3">
        <v>17432.2</v>
      </c>
      <c r="G3">
        <v>17457.490000000002</v>
      </c>
      <c r="H3">
        <v>17432.18</v>
      </c>
      <c r="I3">
        <v>17432.170000000009</v>
      </c>
      <c r="J3">
        <v>17432.16</v>
      </c>
      <c r="K3">
        <v>17432.14</v>
      </c>
      <c r="L3">
        <v>17432.189999999999</v>
      </c>
      <c r="M3">
        <v>17432.099999999999</v>
      </c>
      <c r="N3" s="7">
        <f t="shared" si="1"/>
        <v>2.3350311909803279E-3</v>
      </c>
      <c r="O3" s="1">
        <f t="shared" ref="O3:O33" si="6">(($E3-G3)/$E3)</f>
        <v>8.8765523951229888E-4</v>
      </c>
      <c r="P3" s="1">
        <f t="shared" ref="P3:P33" si="7">(($E3-H3)/$E3)</f>
        <v>2.3361758141131864E-3</v>
      </c>
      <c r="Q3" s="1">
        <f t="shared" si="2"/>
        <v>2.3367481256790952E-3</v>
      </c>
      <c r="R3" s="1">
        <f t="shared" ref="R3:R33" si="8">(($E3-J3)/$E3)</f>
        <v>2.3373204372460449E-3</v>
      </c>
      <c r="S3" s="1">
        <f t="shared" si="3"/>
        <v>2.3384650603789038E-3</v>
      </c>
      <c r="T3" s="1">
        <f t="shared" si="4"/>
        <v>2.3356035025468612E-3</v>
      </c>
      <c r="U3" s="1">
        <f t="shared" si="5"/>
        <v>2.3407543066446207E-3</v>
      </c>
      <c r="V3">
        <v>14065.5</v>
      </c>
      <c r="W3">
        <v>17431.7</v>
      </c>
      <c r="X3">
        <v>14065.1</v>
      </c>
      <c r="Y3">
        <v>17431.599999999999</v>
      </c>
      <c r="Z3">
        <v>17431.599999999999</v>
      </c>
      <c r="AA3">
        <v>17431.669999999998</v>
      </c>
      <c r="AB3">
        <v>17431.599999999999</v>
      </c>
      <c r="AC3">
        <v>17431.599999999999</v>
      </c>
      <c r="AD3">
        <v>17431.599999999999</v>
      </c>
      <c r="AE3" s="6">
        <f>Tabla13[[#This Row],[Calculated HEFT_NC]]/Tabla13[[#This Row],[Real HEFT_NC]]</f>
        <v>0.80498483374348995</v>
      </c>
      <c r="AF3" s="6">
        <f>Tabla13[[#This Row],[Calculated HEFT_DNC]]/Tabla13[[#This Row],[Real HEFT_DNC]]</f>
        <v>0.99997131744702328</v>
      </c>
      <c r="AG3" s="6">
        <f>Tabla13[[#This Row],[Calculated GA_NC]]/Tabla13[[#This Row],[Real GA_NC]]</f>
        <v>0.80567710478425014</v>
      </c>
      <c r="AH3" s="6">
        <f>Tabla13[[#This Row],[Calculated GA_DNC]]/Tabla13[[#This Row],[Real GA_DNC]]</f>
        <v>0.99996672820037413</v>
      </c>
      <c r="AI3" s="6">
        <f>Tabla13[[#This Row],[Calculated HGA_(Ph2)]]/Tabla13[[#This Row],[Real HGA_(Ph2)]]</f>
        <v>0.99996730183333393</v>
      </c>
      <c r="AJ3" s="6">
        <f>Tabla13[[#This Row],[Calculated HGA_(Ph1)]]/Tabla13[[#This Row],[Real HGA_(Ph1)]]</f>
        <v>0.99997189103358386</v>
      </c>
      <c r="AK3" s="6">
        <f>Tabla13[[#This Row],[Calculated HGA^H]]/Tabla13[[#This Row],[Real GA^H]]</f>
        <v>0.99996902273616428</v>
      </c>
      <c r="AL3" s="6">
        <f>Tabla13[[#This Row],[Calculated HGA_(Ph2)^H]]/Tabla13[[#This Row],[Real HGA_(Ph2)^H]]</f>
        <v>0.99996615456807203</v>
      </c>
      <c r="AM3" s="6">
        <f>Tabla13[[#This Row],[Calculated HGA_(Ph1)^H]]/Tabla13[[#This Row],[Real HGA_(Ph1)^H]]</f>
        <v>0.99997131728248456</v>
      </c>
    </row>
    <row r="4" spans="1:39">
      <c r="A4" s="6" t="str">
        <f t="shared" si="0"/>
        <v>1000genome</v>
      </c>
      <c r="B4" t="s">
        <v>2</v>
      </c>
      <c r="C4">
        <f>_xlfn.XLOOKUP(B4,Instances!$B$2:$B$29,Instances!$A$2:$A$29,,0,1)</f>
        <v>492</v>
      </c>
      <c r="D4">
        <v>4</v>
      </c>
      <c r="E4">
        <v>8754.369999999999</v>
      </c>
      <c r="F4">
        <v>8717.58</v>
      </c>
      <c r="G4">
        <v>8768.226999999999</v>
      </c>
      <c r="H4">
        <v>8718.2870000000003</v>
      </c>
      <c r="I4">
        <v>8716.3049999999985</v>
      </c>
      <c r="J4">
        <v>8738.56</v>
      </c>
      <c r="K4">
        <v>8716.5490000000009</v>
      </c>
      <c r="L4">
        <v>8716.1829999999991</v>
      </c>
      <c r="M4">
        <v>8717.1059999999998</v>
      </c>
      <c r="N4" s="7">
        <f t="shared" si="1"/>
        <v>4.2024725936873879E-3</v>
      </c>
      <c r="O4" s="1">
        <f t="shared" si="6"/>
        <v>-1.5828666140453251E-3</v>
      </c>
      <c r="P4" s="1">
        <f t="shared" si="7"/>
        <v>4.1217129273721266E-3</v>
      </c>
      <c r="Q4" s="1">
        <f t="shared" si="2"/>
        <v>4.3481141418514994E-3</v>
      </c>
      <c r="R4" s="1">
        <f t="shared" si="8"/>
        <v>1.8059551972328669E-3</v>
      </c>
      <c r="S4" s="1">
        <f t="shared" si="3"/>
        <v>4.3202423475359273E-3</v>
      </c>
      <c r="T4" s="1">
        <f t="shared" si="4"/>
        <v>4.3620500390090782E-3</v>
      </c>
      <c r="U4" s="1">
        <f t="shared" si="5"/>
        <v>4.2566169810048264E-3</v>
      </c>
      <c r="V4">
        <v>7033.69</v>
      </c>
      <c r="W4">
        <v>8717.19</v>
      </c>
      <c r="X4">
        <v>7034.8180000000011</v>
      </c>
      <c r="Y4">
        <v>8717.9220000000005</v>
      </c>
      <c r="Z4">
        <v>8715.9420000000009</v>
      </c>
      <c r="AA4">
        <v>8738.244999999999</v>
      </c>
      <c r="AB4">
        <v>8716.1960000000017</v>
      </c>
      <c r="AC4">
        <v>8715.8200000000015</v>
      </c>
      <c r="AD4">
        <v>8716.777</v>
      </c>
      <c r="AE4" s="6">
        <f>Tabla13[[#This Row],[Calculated HEFT_NC]]/Tabla13[[#This Row],[Real HEFT_NC]]</f>
        <v>0.8034490203178527</v>
      </c>
      <c r="AF4" s="6">
        <f>Tabla13[[#This Row],[Calculated HEFT_DNC]]/Tabla13[[#This Row],[Real HEFT_DNC]]</f>
        <v>0.99995526281376257</v>
      </c>
      <c r="AG4" s="6">
        <f>Tabla13[[#This Row],[Calculated GA_NC]]/Tabla13[[#This Row],[Real GA_NC]]</f>
        <v>0.80230792382542127</v>
      </c>
      <c r="AH4" s="6">
        <f>Tabla13[[#This Row],[Calculated GA_DNC]]/Tabla13[[#This Row],[Real GA_DNC]]</f>
        <v>0.99995813397746602</v>
      </c>
      <c r="AI4" s="6">
        <f>Tabla13[[#This Row],[Calculated HGA_(Ph2)]]/Tabla13[[#This Row],[Real HGA_(Ph2)]]</f>
        <v>0.99995835391258137</v>
      </c>
      <c r="AJ4" s="6">
        <f>Tabla13[[#This Row],[Calculated HGA_(Ph1)]]/Tabla13[[#This Row],[Real HGA_(Ph1)]]</f>
        <v>0.99996395287095352</v>
      </c>
      <c r="AK4" s="6">
        <f>Tabla13[[#This Row],[Calculated HGA^H]]/Tabla13[[#This Row],[Real GA^H]]</f>
        <v>0.99995950232138897</v>
      </c>
      <c r="AL4" s="6">
        <f>Tabla13[[#This Row],[Calculated HGA_(Ph2)^H]]/Tabla13[[#This Row],[Real HGA_(Ph2)^H]]</f>
        <v>0.9999583533296631</v>
      </c>
      <c r="AM4" s="6">
        <f>Tabla13[[#This Row],[Calculated HGA_(Ph1)^H]]/Tabla13[[#This Row],[Real HGA_(Ph1)^H]]</f>
        <v>0.99996225811639783</v>
      </c>
    </row>
    <row r="5" spans="1:39">
      <c r="A5" s="6" t="str">
        <f t="shared" si="0"/>
        <v>1000genome</v>
      </c>
      <c r="B5" t="s">
        <v>2</v>
      </c>
      <c r="C5">
        <f>_xlfn.XLOOKUP(B5,Instances!$B$2:$B$29,Instances!$A$2:$A$29,,0,1)</f>
        <v>492</v>
      </c>
      <c r="D5">
        <v>8</v>
      </c>
      <c r="E5">
        <v>4378.3999999999996</v>
      </c>
      <c r="F5">
        <v>4360.29</v>
      </c>
      <c r="G5">
        <v>4427.8549999999996</v>
      </c>
      <c r="H5">
        <v>4370.4309999999996</v>
      </c>
      <c r="I5">
        <v>4359.59</v>
      </c>
      <c r="J5">
        <v>4461.2620000000006</v>
      </c>
      <c r="K5">
        <v>4359.3060000000014</v>
      </c>
      <c r="L5">
        <v>4358.1369999999997</v>
      </c>
      <c r="M5">
        <v>4360.29</v>
      </c>
      <c r="N5" s="7">
        <f t="shared" si="1"/>
        <v>4.1362141421523099E-3</v>
      </c>
      <c r="O5" s="1">
        <f t="shared" si="6"/>
        <v>-1.1295221998903694E-2</v>
      </c>
      <c r="P5" s="1">
        <f t="shared" si="7"/>
        <v>1.8200712589073753E-3</v>
      </c>
      <c r="Q5" s="1">
        <f t="shared" si="2"/>
        <v>4.2960898958522504E-3</v>
      </c>
      <c r="R5" s="1">
        <f t="shared" si="8"/>
        <v>-1.8925178147268636E-2</v>
      </c>
      <c r="S5" s="1">
        <f t="shared" si="3"/>
        <v>4.3609537730673843E-3</v>
      </c>
      <c r="T5" s="1">
        <f t="shared" si="4"/>
        <v>4.6279462817467388E-3</v>
      </c>
      <c r="U5" s="1">
        <f t="shared" si="5"/>
        <v>4.1362141421523099E-3</v>
      </c>
      <c r="V5">
        <v>3517.61</v>
      </c>
      <c r="W5">
        <v>4360.1200000000008</v>
      </c>
      <c r="X5">
        <v>3537.069</v>
      </c>
      <c r="Y5">
        <v>4370.24</v>
      </c>
      <c r="Z5">
        <v>4359.3989999999994</v>
      </c>
      <c r="AA5">
        <v>4461.0549999999994</v>
      </c>
      <c r="AB5">
        <v>4359.13</v>
      </c>
      <c r="AC5">
        <v>4357.9189999999999</v>
      </c>
      <c r="AD5">
        <v>4360.1200000000008</v>
      </c>
      <c r="AE5" s="6">
        <f>Tabla13[[#This Row],[Calculated HEFT_NC]]/Tabla13[[#This Row],[Real HEFT_NC]]</f>
        <v>0.80340078567513251</v>
      </c>
      <c r="AF5" s="6">
        <f>Tabla13[[#This Row],[Calculated HEFT_DNC]]/Tabla13[[#This Row],[Real HEFT_DNC]]</f>
        <v>0.99996101176756613</v>
      </c>
      <c r="AG5" s="6">
        <f>Tabla13[[#This Row],[Calculated GA_NC]]/Tabla13[[#This Row],[Real GA_NC]]</f>
        <v>0.79882222882185627</v>
      </c>
      <c r="AH5" s="6">
        <f>Tabla13[[#This Row],[Calculated GA_DNC]]/Tabla13[[#This Row],[Real GA_DNC]]</f>
        <v>0.99995629721645307</v>
      </c>
      <c r="AI5" s="6">
        <f>Tabla13[[#This Row],[Calculated HGA_(Ph2)]]/Tabla13[[#This Row],[Real HGA_(Ph2)]]</f>
        <v>0.99995618854066537</v>
      </c>
      <c r="AJ5" s="6">
        <f>Tabla13[[#This Row],[Calculated HGA_(Ph1)]]/Tabla13[[#This Row],[Real HGA_(Ph1)]]</f>
        <v>0.99995360057311111</v>
      </c>
      <c r="AK5" s="6">
        <f>Tabla13[[#This Row],[Calculated HGA^H]]/Tabla13[[#This Row],[Real GA^H]]</f>
        <v>0.9999596266011147</v>
      </c>
      <c r="AL5" s="6">
        <f>Tabla13[[#This Row],[Calculated HGA_(Ph2)^H]]/Tabla13[[#This Row],[Real HGA_(Ph2)^H]]</f>
        <v>0.99994997862618828</v>
      </c>
      <c r="AM5" s="6">
        <f>Tabla13[[#This Row],[Calculated HGA_(Ph1)^H]]/Tabla13[[#This Row],[Real HGA_(Ph1)^H]]</f>
        <v>0.99996101176756613</v>
      </c>
    </row>
    <row r="6" spans="1:39">
      <c r="A6" s="6" t="str">
        <f t="shared" si="0"/>
        <v>1000genome</v>
      </c>
      <c r="B6" t="s">
        <v>2</v>
      </c>
      <c r="C6">
        <f>_xlfn.XLOOKUP(B6,Instances!$B$2:$B$29,Instances!$A$2:$A$29,,0,1)</f>
        <v>492</v>
      </c>
      <c r="D6">
        <v>16</v>
      </c>
      <c r="E6">
        <v>2207.79</v>
      </c>
      <c r="F6">
        <v>2181.37</v>
      </c>
      <c r="G6">
        <v>2275.2959999999998</v>
      </c>
      <c r="H6">
        <v>2253.875</v>
      </c>
      <c r="I6">
        <v>2184.944</v>
      </c>
      <c r="J6">
        <v>2325.3629999999998</v>
      </c>
      <c r="K6">
        <v>2181.1439999999998</v>
      </c>
      <c r="L6">
        <v>2179.1329999999998</v>
      </c>
      <c r="M6">
        <v>2181.37</v>
      </c>
      <c r="N6" s="7">
        <f t="shared" si="1"/>
        <v>1.1966717849070824E-2</v>
      </c>
      <c r="O6" s="1">
        <f t="shared" si="6"/>
        <v>-3.0576277635101099E-2</v>
      </c>
      <c r="P6" s="1">
        <f t="shared" si="7"/>
        <v>-2.0873814991462066E-2</v>
      </c>
      <c r="Q6" s="1">
        <f t="shared" si="2"/>
        <v>1.0347904465551526E-2</v>
      </c>
      <c r="R6" s="1">
        <f t="shared" si="8"/>
        <v>-5.3253706194882608E-2</v>
      </c>
      <c r="S6" s="1">
        <f t="shared" si="3"/>
        <v>1.2069082657318035E-2</v>
      </c>
      <c r="T6" s="1">
        <f t="shared" si="4"/>
        <v>1.297994827406599E-2</v>
      </c>
      <c r="U6" s="1">
        <f t="shared" si="5"/>
        <v>1.1966717849070824E-2</v>
      </c>
      <c r="V6">
        <v>1759.38</v>
      </c>
      <c r="W6">
        <v>2181.25</v>
      </c>
      <c r="X6">
        <v>1827.018</v>
      </c>
      <c r="Y6">
        <v>2253.7739999999999</v>
      </c>
      <c r="Z6">
        <v>2184.8470000000002</v>
      </c>
      <c r="AA6">
        <v>2325.2509999999988</v>
      </c>
      <c r="AB6">
        <v>2181.0320000000002</v>
      </c>
      <c r="AC6">
        <v>2179.009</v>
      </c>
      <c r="AD6">
        <v>2181.25</v>
      </c>
      <c r="AE6" s="6">
        <f>Tabla13[[#This Row],[Calculated HEFT_NC]]/Tabla13[[#This Row],[Real HEFT_NC]]</f>
        <v>0.7968964439552676</v>
      </c>
      <c r="AF6" s="6">
        <f>Tabla13[[#This Row],[Calculated HEFT_DNC]]/Tabla13[[#This Row],[Real HEFT_DNC]]</f>
        <v>0.99994498869976212</v>
      </c>
      <c r="AG6" s="6">
        <f>Tabla13[[#This Row],[Calculated GA_NC]]/Tabla13[[#This Row],[Real GA_NC]]</f>
        <v>0.8029803594785031</v>
      </c>
      <c r="AH6" s="6">
        <f>Tabla13[[#This Row],[Calculated GA_DNC]]/Tabla13[[#This Row],[Real GA_DNC]]</f>
        <v>0.99995518828683927</v>
      </c>
      <c r="AI6" s="6">
        <f>Tabla13[[#This Row],[Calculated HGA_(Ph2)]]/Tabla13[[#This Row],[Real HGA_(Ph2)]]</f>
        <v>0.99995560526951732</v>
      </c>
      <c r="AJ6" s="6">
        <f>Tabla13[[#This Row],[Calculated HGA_(Ph1)]]/Tabla13[[#This Row],[Real HGA_(Ph1)]]</f>
        <v>0.99995183547686917</v>
      </c>
      <c r="AK6" s="6">
        <f>Tabla13[[#This Row],[Calculated HGA^H]]/Tabla13[[#This Row],[Real GA^H]]</f>
        <v>0.99994865079976392</v>
      </c>
      <c r="AL6" s="6">
        <f>Tabla13[[#This Row],[Calculated HGA_(Ph2)^H]]/Tabla13[[#This Row],[Real HGA_(Ph2)^H]]</f>
        <v>0.99994309663522152</v>
      </c>
      <c r="AM6" s="6">
        <f>Tabla13[[#This Row],[Calculated HGA_(Ph1)^H]]/Tabla13[[#This Row],[Real HGA_(Ph1)^H]]</f>
        <v>0.99994498869976212</v>
      </c>
    </row>
    <row r="7" spans="1:39">
      <c r="A7" s="6" t="str">
        <f t="shared" si="0"/>
        <v>1000genome</v>
      </c>
      <c r="B7" t="s">
        <v>3</v>
      </c>
      <c r="C7">
        <f>_xlfn.XLOOKUP(B7,Instances!$B$2:$B$29,Instances!$A$2:$A$29,,0,1)</f>
        <v>738</v>
      </c>
      <c r="D7">
        <v>1</v>
      </c>
      <c r="E7">
        <v>52760</v>
      </c>
      <c r="F7">
        <v>52760</v>
      </c>
      <c r="G7">
        <v>52760</v>
      </c>
      <c r="H7">
        <v>52760</v>
      </c>
      <c r="I7">
        <v>52760</v>
      </c>
      <c r="J7">
        <v>52760</v>
      </c>
      <c r="K7">
        <v>52760</v>
      </c>
      <c r="L7">
        <v>52760</v>
      </c>
      <c r="M7">
        <v>52760</v>
      </c>
      <c r="N7" s="7">
        <f t="shared" si="1"/>
        <v>0</v>
      </c>
      <c r="O7" s="1">
        <f t="shared" si="6"/>
        <v>0</v>
      </c>
      <c r="P7" s="1">
        <f t="shared" si="7"/>
        <v>0</v>
      </c>
      <c r="Q7" s="1">
        <f t="shared" si="2"/>
        <v>0</v>
      </c>
      <c r="R7" s="1">
        <f t="shared" si="8"/>
        <v>0</v>
      </c>
      <c r="S7" s="1">
        <f t="shared" si="3"/>
        <v>0</v>
      </c>
      <c r="T7" s="1">
        <f t="shared" si="4"/>
        <v>0</v>
      </c>
      <c r="U7" s="1">
        <f t="shared" si="5"/>
        <v>0</v>
      </c>
      <c r="V7">
        <v>42669.2</v>
      </c>
      <c r="W7">
        <v>52759.8</v>
      </c>
      <c r="X7">
        <v>42669.2</v>
      </c>
      <c r="Y7">
        <v>52759.8</v>
      </c>
      <c r="Z7">
        <v>52759.8</v>
      </c>
      <c r="AA7">
        <v>52759.8</v>
      </c>
      <c r="AB7">
        <v>52759.8</v>
      </c>
      <c r="AC7">
        <v>52759.8</v>
      </c>
      <c r="AD7">
        <v>52759.8</v>
      </c>
      <c r="AE7" s="6">
        <f>Tabla13[[#This Row],[Calculated HEFT_NC]]/Tabla13[[#This Row],[Real HEFT_NC]]</f>
        <v>0.80874147081122061</v>
      </c>
      <c r="AF7" s="6">
        <f>Tabla13[[#This Row],[Calculated HEFT_DNC]]/Tabla13[[#This Row],[Real HEFT_DNC]]</f>
        <v>0.99999620924943144</v>
      </c>
      <c r="AG7" s="6">
        <f>Tabla13[[#This Row],[Calculated GA_NC]]/Tabla13[[#This Row],[Real GA_NC]]</f>
        <v>0.80874147081122061</v>
      </c>
      <c r="AH7" s="6">
        <f>Tabla13[[#This Row],[Calculated GA_DNC]]/Tabla13[[#This Row],[Real GA_DNC]]</f>
        <v>0.99999620924943144</v>
      </c>
      <c r="AI7" s="6">
        <f>Tabla13[[#This Row],[Calculated HGA_(Ph2)]]/Tabla13[[#This Row],[Real HGA_(Ph2)]]</f>
        <v>0.99999620924943144</v>
      </c>
      <c r="AJ7" s="6">
        <f>Tabla13[[#This Row],[Calculated HGA_(Ph1)]]/Tabla13[[#This Row],[Real HGA_(Ph1)]]</f>
        <v>0.99999620924943144</v>
      </c>
      <c r="AK7" s="6">
        <f>Tabla13[[#This Row],[Calculated HGA^H]]/Tabla13[[#This Row],[Real GA^H]]</f>
        <v>0.99999620924943144</v>
      </c>
      <c r="AL7" s="6">
        <f>Tabla13[[#This Row],[Calculated HGA_(Ph2)^H]]/Tabla13[[#This Row],[Real HGA_(Ph2)^H]]</f>
        <v>0.99999620924943144</v>
      </c>
      <c r="AM7" s="6">
        <f>Tabla13[[#This Row],[Calculated HGA_(Ph1)^H]]/Tabla13[[#This Row],[Real HGA_(Ph1)^H]]</f>
        <v>0.99999620924943144</v>
      </c>
    </row>
    <row r="8" spans="1:39">
      <c r="A8" s="6" t="str">
        <f t="shared" si="0"/>
        <v>1000genome</v>
      </c>
      <c r="B8" t="s">
        <v>3</v>
      </c>
      <c r="C8">
        <f>_xlfn.XLOOKUP(B8,Instances!$B$2:$B$29,Instances!$A$2:$A$29,,0,1)</f>
        <v>738</v>
      </c>
      <c r="D8">
        <v>2</v>
      </c>
      <c r="E8">
        <v>26446.2</v>
      </c>
      <c r="F8">
        <v>26380.6</v>
      </c>
      <c r="G8">
        <v>26419.38</v>
      </c>
      <c r="H8">
        <v>26380.66</v>
      </c>
      <c r="I8">
        <v>26380.65</v>
      </c>
      <c r="J8">
        <v>26382.01</v>
      </c>
      <c r="K8">
        <v>26380.62</v>
      </c>
      <c r="L8">
        <v>26380.68</v>
      </c>
      <c r="M8">
        <v>26380.560000000001</v>
      </c>
      <c r="N8" s="7">
        <f t="shared" si="1"/>
        <v>2.4805075965545968E-3</v>
      </c>
      <c r="O8" s="1">
        <f t="shared" si="6"/>
        <v>1.0141343557864536E-3</v>
      </c>
      <c r="P8" s="1">
        <f t="shared" si="7"/>
        <v>2.4782388396064792E-3</v>
      </c>
      <c r="Q8" s="1">
        <f t="shared" si="2"/>
        <v>2.4786169657644301E-3</v>
      </c>
      <c r="R8" s="1">
        <f t="shared" si="8"/>
        <v>2.4271918082750007E-3</v>
      </c>
      <c r="S8" s="1">
        <f t="shared" si="3"/>
        <v>2.4797513442385579E-3</v>
      </c>
      <c r="T8" s="1">
        <f t="shared" si="4"/>
        <v>2.4774825872904398E-3</v>
      </c>
      <c r="U8" s="1">
        <f t="shared" si="5"/>
        <v>2.4820201011865376E-3</v>
      </c>
      <c r="V8">
        <v>21334.6</v>
      </c>
      <c r="W8">
        <v>26379.9</v>
      </c>
      <c r="X8">
        <v>21334.6</v>
      </c>
      <c r="Y8">
        <v>26379.9</v>
      </c>
      <c r="Z8">
        <v>26379.9</v>
      </c>
      <c r="AA8">
        <v>26381.35</v>
      </c>
      <c r="AB8">
        <v>26379.9</v>
      </c>
      <c r="AC8">
        <v>26379.9</v>
      </c>
      <c r="AD8">
        <v>26379.9</v>
      </c>
      <c r="AE8" s="6">
        <f>Tabla13[[#This Row],[Calculated HEFT_NC]]/Tabla13[[#This Row],[Real HEFT_NC]]</f>
        <v>0.80671703307091369</v>
      </c>
      <c r="AF8" s="6">
        <f>Tabla13[[#This Row],[Calculated HEFT_DNC]]/Tabla13[[#This Row],[Real HEFT_DNC]]</f>
        <v>0.99997346534953724</v>
      </c>
      <c r="AG8" s="6">
        <f>Tabla13[[#This Row],[Calculated GA_NC]]/Tabla13[[#This Row],[Real GA_NC]]</f>
        <v>0.8075359830548634</v>
      </c>
      <c r="AH8" s="6">
        <f>Tabla13[[#This Row],[Calculated GA_DNC]]/Tabla13[[#This Row],[Real GA_DNC]]</f>
        <v>0.99997119101644927</v>
      </c>
      <c r="AI8" s="6">
        <f>Tabla13[[#This Row],[Calculated HGA_(Ph2)]]/Tabla13[[#This Row],[Real HGA_(Ph2)]]</f>
        <v>0.99997157007124537</v>
      </c>
      <c r="AJ8" s="6">
        <f>Tabla13[[#This Row],[Calculated HGA_(Ph1)]]/Tabla13[[#This Row],[Real HGA_(Ph1)]]</f>
        <v>0.99997498295239828</v>
      </c>
      <c r="AK8" s="6">
        <f>Tabla13[[#This Row],[Calculated HGA^H]]/Tabla13[[#This Row],[Real GA^H]]</f>
        <v>0.99997270723735843</v>
      </c>
      <c r="AL8" s="6">
        <f>Tabla13[[#This Row],[Calculated HGA_(Ph2)^H]]/Tabla13[[#This Row],[Real HGA_(Ph2)^H]]</f>
        <v>0.99997043290771892</v>
      </c>
      <c r="AM8" s="6">
        <f>Tabla13[[#This Row],[Calculated HGA_(Ph1)^H]]/Tabla13[[#This Row],[Real HGA_(Ph1)^H]]</f>
        <v>0.99997498157734332</v>
      </c>
    </row>
    <row r="9" spans="1:39">
      <c r="A9" s="6" t="str">
        <f t="shared" si="0"/>
        <v>1000genome</v>
      </c>
      <c r="B9" t="s">
        <v>3</v>
      </c>
      <c r="C9">
        <f>_xlfn.XLOOKUP(B9,Instances!$B$2:$B$29,Instances!$A$2:$A$29,,0,1)</f>
        <v>738</v>
      </c>
      <c r="D9">
        <v>4</v>
      </c>
      <c r="E9">
        <v>13274.9</v>
      </c>
      <c r="F9">
        <v>13191.3</v>
      </c>
      <c r="G9">
        <v>13253.43</v>
      </c>
      <c r="H9">
        <v>13192.06</v>
      </c>
      <c r="I9">
        <v>13190.82</v>
      </c>
      <c r="J9">
        <v>13261.97</v>
      </c>
      <c r="K9">
        <v>13190.76</v>
      </c>
      <c r="L9">
        <v>13190.49</v>
      </c>
      <c r="M9">
        <v>13190.85</v>
      </c>
      <c r="N9" s="7">
        <f t="shared" si="1"/>
        <v>6.2975992286194524E-3</v>
      </c>
      <c r="O9" s="1">
        <f t="shared" si="6"/>
        <v>1.6173379837135756E-3</v>
      </c>
      <c r="P9" s="1">
        <f t="shared" si="7"/>
        <v>6.2403483265410778E-3</v>
      </c>
      <c r="Q9" s="1">
        <f t="shared" si="2"/>
        <v>6.333757693089961E-3</v>
      </c>
      <c r="R9" s="1">
        <f t="shared" si="8"/>
        <v>9.7401863667525115E-4</v>
      </c>
      <c r="S9" s="1">
        <f t="shared" si="3"/>
        <v>6.3382775011487412E-3</v>
      </c>
      <c r="T9" s="1">
        <f t="shared" si="4"/>
        <v>6.3586166374134537E-3</v>
      </c>
      <c r="U9" s="1">
        <f t="shared" si="5"/>
        <v>6.3314977890605029E-3</v>
      </c>
      <c r="V9">
        <v>10667.3</v>
      </c>
      <c r="W9">
        <v>13190.8</v>
      </c>
      <c r="X9">
        <v>10669</v>
      </c>
      <c r="Y9">
        <v>13191.61</v>
      </c>
      <c r="Z9">
        <v>13190.32</v>
      </c>
      <c r="AA9">
        <v>13261.49</v>
      </c>
      <c r="AB9">
        <v>13190.26</v>
      </c>
      <c r="AC9">
        <v>13190</v>
      </c>
      <c r="AD9">
        <v>13190.33</v>
      </c>
      <c r="AE9" s="6">
        <f>Tabla13[[#This Row],[Calculated HEFT_NC]]/Tabla13[[#This Row],[Real HEFT_NC]]</f>
        <v>0.80356914176377969</v>
      </c>
      <c r="AF9" s="6">
        <f>Tabla13[[#This Row],[Calculated HEFT_DNC]]/Tabla13[[#This Row],[Real HEFT_DNC]]</f>
        <v>0.99996209623009102</v>
      </c>
      <c r="AG9" s="6">
        <f>Tabla13[[#This Row],[Calculated GA_NC]]/Tabla13[[#This Row],[Real GA_NC]]</f>
        <v>0.80499915870834948</v>
      </c>
      <c r="AH9" s="6">
        <f>Tabla13[[#This Row],[Calculated GA_DNC]]/Tabla13[[#This Row],[Real GA_DNC]]</f>
        <v>0.99996588857236857</v>
      </c>
      <c r="AI9" s="6">
        <f>Tabla13[[#This Row],[Calculated HGA_(Ph2)]]/Tabla13[[#This Row],[Real HGA_(Ph2)]]</f>
        <v>0.99996209485081289</v>
      </c>
      <c r="AJ9" s="6">
        <f>Tabla13[[#This Row],[Calculated HGA_(Ph1)]]/Tabla13[[#This Row],[Real HGA_(Ph1)]]</f>
        <v>0.99996380628217385</v>
      </c>
      <c r="AK9" s="6">
        <f>Tabla13[[#This Row],[Calculated HGA^H]]/Tabla13[[#This Row],[Real GA^H]]</f>
        <v>0.99996209467839614</v>
      </c>
      <c r="AL9" s="6">
        <f>Tabla13[[#This Row],[Calculated HGA_(Ph2)^H]]/Tabla13[[#This Row],[Real HGA_(Ph2)^H]]</f>
        <v>0.99996285202445101</v>
      </c>
      <c r="AM9" s="6">
        <f>Tabla13[[#This Row],[Calculated HGA_(Ph1)^H]]/Tabla13[[#This Row],[Real HGA_(Ph1)^H]]</f>
        <v>0.9999605787345015</v>
      </c>
    </row>
    <row r="10" spans="1:39">
      <c r="A10" s="6" t="str">
        <f t="shared" si="0"/>
        <v>1000genome</v>
      </c>
      <c r="B10" t="s">
        <v>3</v>
      </c>
      <c r="C10">
        <f>_xlfn.XLOOKUP(B10,Instances!$B$2:$B$29,Instances!$A$2:$A$29,,0,1)</f>
        <v>738</v>
      </c>
      <c r="D10">
        <v>8</v>
      </c>
      <c r="E10">
        <v>6634.25</v>
      </c>
      <c r="F10">
        <v>6596.33</v>
      </c>
      <c r="G10">
        <v>6676.9869999999992</v>
      </c>
      <c r="H10">
        <v>6620.2240000000002</v>
      </c>
      <c r="I10">
        <v>6598.8059999999996</v>
      </c>
      <c r="J10">
        <v>6761.2160000000003</v>
      </c>
      <c r="K10">
        <v>6596.2790000000005</v>
      </c>
      <c r="L10">
        <v>6595.2920000000013</v>
      </c>
      <c r="M10">
        <v>6596.33</v>
      </c>
      <c r="N10" s="7">
        <f t="shared" si="1"/>
        <v>5.7157930436748799E-3</v>
      </c>
      <c r="O10" s="1">
        <f t="shared" si="6"/>
        <v>-6.441873610430594E-3</v>
      </c>
      <c r="P10" s="1">
        <f t="shared" si="7"/>
        <v>2.1141802012284495E-3</v>
      </c>
      <c r="Q10" s="1">
        <f t="shared" si="2"/>
        <v>5.3425782869202122E-3</v>
      </c>
      <c r="R10" s="1">
        <f t="shared" si="8"/>
        <v>-1.9137958322342441E-2</v>
      </c>
      <c r="S10" s="1">
        <f t="shared" si="3"/>
        <v>5.72348042355949E-3</v>
      </c>
      <c r="T10" s="1">
        <f t="shared" si="4"/>
        <v>5.8722538342689404E-3</v>
      </c>
      <c r="U10" s="1">
        <f t="shared" si="5"/>
        <v>5.7157930436748799E-3</v>
      </c>
      <c r="V10">
        <v>5334.82</v>
      </c>
      <c r="W10">
        <v>6596.0399999999991</v>
      </c>
      <c r="X10">
        <v>5366.1799999999994</v>
      </c>
      <c r="Y10">
        <v>6619.9829999999984</v>
      </c>
      <c r="Z10">
        <v>6598.5070000000014</v>
      </c>
      <c r="AA10">
        <v>6760.9380000000001</v>
      </c>
      <c r="AB10">
        <v>6595.9990000000007</v>
      </c>
      <c r="AC10">
        <v>6594.9909999999991</v>
      </c>
      <c r="AD10">
        <v>6596.0399999999991</v>
      </c>
      <c r="AE10" s="6">
        <f>Tabla13[[#This Row],[Calculated HEFT_NC]]/Tabla13[[#This Row],[Real HEFT_NC]]</f>
        <v>0.80413309718506232</v>
      </c>
      <c r="AF10" s="6">
        <f>Tabla13[[#This Row],[Calculated HEFT_DNC]]/Tabla13[[#This Row],[Real HEFT_DNC]]</f>
        <v>0.99995603615950068</v>
      </c>
      <c r="AG10" s="6">
        <f>Tabla13[[#This Row],[Calculated GA_NC]]/Tabla13[[#This Row],[Real GA_NC]]</f>
        <v>0.80368285875051126</v>
      </c>
      <c r="AH10" s="6">
        <f>Tabla13[[#This Row],[Calculated GA_DNC]]/Tabla13[[#This Row],[Real GA_DNC]]</f>
        <v>0.99996359639794641</v>
      </c>
      <c r="AI10" s="6">
        <f>Tabla13[[#This Row],[Calculated HGA_(Ph2)]]/Tabla13[[#This Row],[Real HGA_(Ph2)]]</f>
        <v>0.99995468877248428</v>
      </c>
      <c r="AJ10" s="6">
        <f>Tabla13[[#This Row],[Calculated HGA_(Ph1)]]/Tabla13[[#This Row],[Real HGA_(Ph1)]]</f>
        <v>0.9999588831358146</v>
      </c>
      <c r="AK10" s="6">
        <f>Tabla13[[#This Row],[Calculated HGA^H]]/Tabla13[[#This Row],[Real GA^H]]</f>
        <v>0.9999575518258097</v>
      </c>
      <c r="AL10" s="6">
        <f>Tabla13[[#This Row],[Calculated HGA_(Ph2)^H]]/Tabla13[[#This Row],[Real HGA_(Ph2)^H]]</f>
        <v>0.99995436138384741</v>
      </c>
      <c r="AM10" s="6">
        <f>Tabla13[[#This Row],[Calculated HGA_(Ph1)^H]]/Tabla13[[#This Row],[Real HGA_(Ph1)^H]]</f>
        <v>0.99995603615950068</v>
      </c>
    </row>
    <row r="11" spans="1:39">
      <c r="A11" s="6" t="str">
        <f t="shared" si="0"/>
        <v>1000genome</v>
      </c>
      <c r="B11" t="s">
        <v>3</v>
      </c>
      <c r="C11">
        <f>_xlfn.XLOOKUP(B11,Instances!$B$2:$B$29,Instances!$A$2:$A$29,,0,1)</f>
        <v>738</v>
      </c>
      <c r="D11">
        <v>16</v>
      </c>
      <c r="E11">
        <v>3336.48</v>
      </c>
      <c r="F11">
        <v>3298.8200000000011</v>
      </c>
      <c r="G11">
        <v>3411.5039999999999</v>
      </c>
      <c r="H11">
        <v>3377.6219999999998</v>
      </c>
      <c r="I11">
        <v>3307.2759999999998</v>
      </c>
      <c r="J11">
        <v>3546.212</v>
      </c>
      <c r="K11">
        <v>3298.7640000000001</v>
      </c>
      <c r="L11">
        <v>3297.68</v>
      </c>
      <c r="M11">
        <v>3298.8200000000011</v>
      </c>
      <c r="N11" s="7">
        <f t="shared" si="1"/>
        <v>1.1287344746558932E-2</v>
      </c>
      <c r="O11" s="1">
        <f t="shared" si="6"/>
        <v>-2.2485973241260216E-2</v>
      </c>
      <c r="P11" s="1">
        <f t="shared" si="7"/>
        <v>-1.2330959574161939E-2</v>
      </c>
      <c r="Q11" s="1">
        <f t="shared" si="2"/>
        <v>8.7529372272575224E-3</v>
      </c>
      <c r="R11" s="1">
        <f t="shared" si="8"/>
        <v>-6.2860259914640573E-2</v>
      </c>
      <c r="S11" s="1">
        <f t="shared" si="3"/>
        <v>1.1304128902316182E-2</v>
      </c>
      <c r="T11" s="1">
        <f t="shared" si="4"/>
        <v>1.1629022203040384E-2</v>
      </c>
      <c r="U11" s="1">
        <f t="shared" si="5"/>
        <v>1.1287344746558932E-2</v>
      </c>
      <c r="V11">
        <v>2667.63</v>
      </c>
      <c r="W11">
        <v>3298.64</v>
      </c>
      <c r="X11">
        <v>2742.078</v>
      </c>
      <c r="Y11">
        <v>3377.4679999999998</v>
      </c>
      <c r="Z11">
        <v>3307.136</v>
      </c>
      <c r="AA11">
        <v>3546.0189999999998</v>
      </c>
      <c r="AB11">
        <v>3298.608999999999</v>
      </c>
      <c r="AC11">
        <v>3297.5249999999992</v>
      </c>
      <c r="AD11">
        <v>3298.64</v>
      </c>
      <c r="AE11" s="6">
        <f>Tabla13[[#This Row],[Calculated HEFT_NC]]/Tabla13[[#This Row],[Real HEFT_NC]]</f>
        <v>0.79953423967774429</v>
      </c>
      <c r="AF11" s="6">
        <f>Tabla13[[#This Row],[Calculated HEFT_DNC]]/Tabla13[[#This Row],[Real HEFT_DNC]]</f>
        <v>0.9999454350343453</v>
      </c>
      <c r="AG11" s="6">
        <f>Tabla13[[#This Row],[Calculated GA_NC]]/Tabla13[[#This Row],[Real GA_NC]]</f>
        <v>0.80377393665667696</v>
      </c>
      <c r="AH11" s="6">
        <f>Tabla13[[#This Row],[Calculated GA_DNC]]/Tabla13[[#This Row],[Real GA_DNC]]</f>
        <v>0.99995440579200401</v>
      </c>
      <c r="AI11" s="6">
        <f>Tabla13[[#This Row],[Calculated HGA_(Ph2)]]/Tabla13[[#This Row],[Real HGA_(Ph2)]]</f>
        <v>0.99995766909081674</v>
      </c>
      <c r="AJ11" s="6">
        <f>Tabla13[[#This Row],[Calculated HGA_(Ph1)]]/Tabla13[[#This Row],[Real HGA_(Ph1)]]</f>
        <v>0.9999455757298209</v>
      </c>
      <c r="AK11" s="6">
        <f>Tabla13[[#This Row],[Calculated HGA^H]]/Tabla13[[#This Row],[Real GA^H]]</f>
        <v>0.99995301270415193</v>
      </c>
      <c r="AL11" s="6">
        <f>Tabla13[[#This Row],[Calculated HGA_(Ph2)^H]]/Tabla13[[#This Row],[Real HGA_(Ph2)^H]]</f>
        <v>0.99995299725867859</v>
      </c>
      <c r="AM11" s="6">
        <f>Tabla13[[#This Row],[Calculated HGA_(Ph1)^H]]/Tabla13[[#This Row],[Real HGA_(Ph1)^H]]</f>
        <v>0.9999454350343453</v>
      </c>
    </row>
    <row r="12" spans="1:39">
      <c r="A12" s="6" t="str">
        <f t="shared" si="0"/>
        <v>1000genome</v>
      </c>
      <c r="B12" t="s">
        <v>4</v>
      </c>
      <c r="C12">
        <f>_xlfn.XLOOKUP(B12,Instances!$B$2:$B$29,Instances!$A$2:$A$29,,0,1)</f>
        <v>82</v>
      </c>
      <c r="D12">
        <v>1</v>
      </c>
      <c r="E12">
        <v>5545.79</v>
      </c>
      <c r="F12">
        <v>5545.79</v>
      </c>
      <c r="G12">
        <v>5545.79</v>
      </c>
      <c r="H12">
        <v>5545.79</v>
      </c>
      <c r="I12">
        <v>5545.79</v>
      </c>
      <c r="J12">
        <v>5545.79</v>
      </c>
      <c r="K12">
        <v>5545.79</v>
      </c>
      <c r="L12">
        <v>5545.79</v>
      </c>
      <c r="M12">
        <v>5545.79</v>
      </c>
      <c r="N12" s="7">
        <f t="shared" si="1"/>
        <v>0</v>
      </c>
      <c r="O12" s="1">
        <f t="shared" si="6"/>
        <v>0</v>
      </c>
      <c r="P12" s="1">
        <f t="shared" si="7"/>
        <v>0</v>
      </c>
      <c r="Q12" s="1">
        <f t="shared" si="2"/>
        <v>0</v>
      </c>
      <c r="R12" s="1">
        <f t="shared" si="8"/>
        <v>0</v>
      </c>
      <c r="S12" s="1">
        <f t="shared" si="3"/>
        <v>0</v>
      </c>
      <c r="T12" s="1">
        <f t="shared" si="4"/>
        <v>0</v>
      </c>
      <c r="U12" s="1">
        <f t="shared" si="5"/>
        <v>0</v>
      </c>
      <c r="V12">
        <v>4436.46</v>
      </c>
      <c r="W12">
        <v>5545.7700000000013</v>
      </c>
      <c r="X12">
        <v>4436.46</v>
      </c>
      <c r="Y12">
        <v>5545.7700000000013</v>
      </c>
      <c r="Z12">
        <v>5545.7700000000013</v>
      </c>
      <c r="AA12">
        <v>5545.7700000000013</v>
      </c>
      <c r="AB12">
        <v>5545.7700000000013</v>
      </c>
      <c r="AC12">
        <v>5545.7700000000013</v>
      </c>
      <c r="AD12">
        <v>5545.7700000000013</v>
      </c>
      <c r="AE12" s="6">
        <f>Tabla13[[#This Row],[Calculated HEFT_NC]]/Tabla13[[#This Row],[Real HEFT_NC]]</f>
        <v>0.79996898548268147</v>
      </c>
      <c r="AF12" s="6">
        <f>Tabla13[[#This Row],[Calculated HEFT_DNC]]/Tabla13[[#This Row],[Real HEFT_DNC]]</f>
        <v>0.99999639366077719</v>
      </c>
      <c r="AG12" s="6">
        <f>Tabla13[[#This Row],[Calculated GA_NC]]/Tabla13[[#This Row],[Real GA_NC]]</f>
        <v>0.79996898548268147</v>
      </c>
      <c r="AH12" s="6">
        <f>Tabla13[[#This Row],[Calculated GA_DNC]]/Tabla13[[#This Row],[Real GA_DNC]]</f>
        <v>0.99999639366077719</v>
      </c>
      <c r="AI12" s="6">
        <f>Tabla13[[#This Row],[Calculated HGA_(Ph2)]]/Tabla13[[#This Row],[Real HGA_(Ph2)]]</f>
        <v>0.99999639366077719</v>
      </c>
      <c r="AJ12" s="6">
        <f>Tabla13[[#This Row],[Calculated HGA_(Ph1)]]/Tabla13[[#This Row],[Real HGA_(Ph1)]]</f>
        <v>0.99999639366077719</v>
      </c>
      <c r="AK12" s="6">
        <f>Tabla13[[#This Row],[Calculated HGA^H]]/Tabla13[[#This Row],[Real GA^H]]</f>
        <v>0.99999639366077719</v>
      </c>
      <c r="AL12" s="6">
        <f>Tabla13[[#This Row],[Calculated HGA_(Ph2)^H]]/Tabla13[[#This Row],[Real HGA_(Ph2)^H]]</f>
        <v>0.99999639366077719</v>
      </c>
      <c r="AM12" s="6">
        <f>Tabla13[[#This Row],[Calculated HGA_(Ph1)^H]]/Tabla13[[#This Row],[Real HGA_(Ph1)^H]]</f>
        <v>0.99999639366077719</v>
      </c>
    </row>
    <row r="13" spans="1:39">
      <c r="A13" s="6" t="str">
        <f t="shared" si="0"/>
        <v>1000genome</v>
      </c>
      <c r="B13" t="s">
        <v>4</v>
      </c>
      <c r="C13">
        <f>_xlfn.XLOOKUP(B13,Instances!$B$2:$B$29,Instances!$A$2:$A$29,,0,1)</f>
        <v>82</v>
      </c>
      <c r="D13">
        <v>2</v>
      </c>
      <c r="E13">
        <v>2775.43</v>
      </c>
      <c r="F13">
        <v>2773.099999999999</v>
      </c>
      <c r="G13">
        <v>2778.3130000000001</v>
      </c>
      <c r="H13">
        <v>2772.9349999999999</v>
      </c>
      <c r="I13">
        <v>2772.94</v>
      </c>
      <c r="J13">
        <v>2772.9209999999998</v>
      </c>
      <c r="K13">
        <v>2772.93</v>
      </c>
      <c r="L13">
        <v>2772.936999999999</v>
      </c>
      <c r="M13">
        <v>2772.9209999999998</v>
      </c>
      <c r="N13" s="7">
        <f t="shared" si="1"/>
        <v>8.3950955347489829E-4</v>
      </c>
      <c r="O13" s="1">
        <f t="shared" si="6"/>
        <v>-1.0387579582263886E-3</v>
      </c>
      <c r="P13" s="1">
        <f t="shared" si="7"/>
        <v>8.989598008236169E-4</v>
      </c>
      <c r="Q13" s="1">
        <f t="shared" si="2"/>
        <v>8.9715827817663635E-4</v>
      </c>
      <c r="R13" s="1">
        <f t="shared" si="8"/>
        <v>9.0400406423509676E-4</v>
      </c>
      <c r="S13" s="1">
        <f t="shared" si="3"/>
        <v>9.0076132347059745E-4</v>
      </c>
      <c r="T13" s="1">
        <f t="shared" si="4"/>
        <v>8.9823919176518512E-4</v>
      </c>
      <c r="U13" s="1">
        <f t="shared" si="5"/>
        <v>9.0400406423509676E-4</v>
      </c>
      <c r="V13">
        <v>2218.37</v>
      </c>
      <c r="W13">
        <v>2773.05</v>
      </c>
      <c r="X13">
        <v>2218.2310000000002</v>
      </c>
      <c r="Y13">
        <v>2772.89</v>
      </c>
      <c r="Z13">
        <v>2772.89</v>
      </c>
      <c r="AA13">
        <v>2772.89</v>
      </c>
      <c r="AB13">
        <v>2772.89</v>
      </c>
      <c r="AC13">
        <v>2772.89</v>
      </c>
      <c r="AD13">
        <v>2772.89</v>
      </c>
      <c r="AE13" s="6">
        <f>Tabla13[[#This Row],[Calculated HEFT_NC]]/Tabla13[[#This Row],[Real HEFT_NC]]</f>
        <v>0.79928875885898765</v>
      </c>
      <c r="AF13" s="6">
        <f>Tabla13[[#This Row],[Calculated HEFT_DNC]]/Tabla13[[#This Row],[Real HEFT_DNC]]</f>
        <v>0.99998196963686892</v>
      </c>
      <c r="AG13" s="6">
        <f>Tabla13[[#This Row],[Calculated GA_NC]]/Tabla13[[#This Row],[Real GA_NC]]</f>
        <v>0.79840932249174235</v>
      </c>
      <c r="AH13" s="6">
        <f>Tabla13[[#This Row],[Calculated GA_DNC]]/Tabla13[[#This Row],[Real GA_DNC]]</f>
        <v>0.999983771707595</v>
      </c>
      <c r="AI13" s="6">
        <f>Tabla13[[#This Row],[Calculated HGA_(Ph2)]]/Tabla13[[#This Row],[Real HGA_(Ph2)]]</f>
        <v>0.99998196859650756</v>
      </c>
      <c r="AJ13" s="6">
        <f>Tabla13[[#This Row],[Calculated HGA_(Ph1)]]/Tabla13[[#This Row],[Real HGA_(Ph1)]]</f>
        <v>0.99998882045323323</v>
      </c>
      <c r="AK13" s="6">
        <f>Tabla13[[#This Row],[Calculated HGA^H]]/Tabla13[[#This Row],[Real GA^H]]</f>
        <v>0.99998557482518491</v>
      </c>
      <c r="AL13" s="6">
        <f>Tabla13[[#This Row],[Calculated HGA_(Ph2)^H]]/Tabla13[[#This Row],[Real HGA_(Ph2)^H]]</f>
        <v>0.99998305046238012</v>
      </c>
      <c r="AM13" s="6">
        <f>Tabla13[[#This Row],[Calculated HGA_(Ph1)^H]]/Tabla13[[#This Row],[Real HGA_(Ph1)^H]]</f>
        <v>0.99998882045323323</v>
      </c>
    </row>
    <row r="14" spans="1:39">
      <c r="A14" s="6" t="str">
        <f t="shared" si="0"/>
        <v>1000genome</v>
      </c>
      <c r="B14" t="s">
        <v>4</v>
      </c>
      <c r="C14">
        <f>_xlfn.XLOOKUP(B14,Instances!$B$2:$B$29,Instances!$A$2:$A$29,,0,1)</f>
        <v>82</v>
      </c>
      <c r="D14">
        <v>4</v>
      </c>
      <c r="E14">
        <v>1416.93</v>
      </c>
      <c r="F14">
        <v>1416.93</v>
      </c>
      <c r="G14">
        <v>1410.94</v>
      </c>
      <c r="H14">
        <v>1396.354</v>
      </c>
      <c r="I14">
        <v>1386.7370000000001</v>
      </c>
      <c r="J14">
        <v>1408.691</v>
      </c>
      <c r="K14">
        <v>1396.453</v>
      </c>
      <c r="L14">
        <v>1386.509</v>
      </c>
      <c r="M14">
        <v>1408.6559999999999</v>
      </c>
      <c r="N14" s="7">
        <f t="shared" si="1"/>
        <v>0</v>
      </c>
      <c r="O14" s="1">
        <f t="shared" si="6"/>
        <v>4.227449485860282E-3</v>
      </c>
      <c r="P14" s="1">
        <f t="shared" si="7"/>
        <v>1.4521535996838249E-2</v>
      </c>
      <c r="Q14" s="1">
        <f t="shared" si="2"/>
        <v>2.1308744962701038E-2</v>
      </c>
      <c r="R14" s="1">
        <f t="shared" si="8"/>
        <v>5.8146838587650991E-3</v>
      </c>
      <c r="S14" s="1">
        <f t="shared" si="3"/>
        <v>1.4451666631379171E-2</v>
      </c>
      <c r="T14" s="1">
        <f t="shared" si="4"/>
        <v>2.1469656228606953E-2</v>
      </c>
      <c r="U14" s="1">
        <f t="shared" si="5"/>
        <v>5.8393851495840404E-3</v>
      </c>
      <c r="V14">
        <v>1151.82</v>
      </c>
      <c r="W14">
        <v>1416.9</v>
      </c>
      <c r="X14">
        <v>1114.5930000000001</v>
      </c>
      <c r="Y14">
        <v>1396.3320000000001</v>
      </c>
      <c r="Z14">
        <v>1386.7</v>
      </c>
      <c r="AA14">
        <v>1408.6669999999999</v>
      </c>
      <c r="AB14">
        <v>1396.432</v>
      </c>
      <c r="AC14">
        <v>1386.4649999999999</v>
      </c>
      <c r="AD14">
        <v>1408.633</v>
      </c>
      <c r="AE14" s="6">
        <f>Tabla13[[#This Row],[Calculated HEFT_NC]]/Tabla13[[#This Row],[Real HEFT_NC]]</f>
        <v>0.81289830831445442</v>
      </c>
      <c r="AF14" s="6">
        <f>Tabla13[[#This Row],[Calculated HEFT_DNC]]/Tabla13[[#This Row],[Real HEFT_DNC]]</f>
        <v>0.99997882746501243</v>
      </c>
      <c r="AG14" s="6">
        <f>Tabla13[[#This Row],[Calculated GA_NC]]/Tabla13[[#This Row],[Real GA_NC]]</f>
        <v>0.7899648461309482</v>
      </c>
      <c r="AH14" s="6">
        <f>Tabla13[[#This Row],[Calculated GA_DNC]]/Tabla13[[#This Row],[Real GA_DNC]]</f>
        <v>0.99998424468293856</v>
      </c>
      <c r="AI14" s="6">
        <f>Tabla13[[#This Row],[Calculated HGA_(Ph2)]]/Tabla13[[#This Row],[Real HGA_(Ph2)]]</f>
        <v>0.99997331866100059</v>
      </c>
      <c r="AJ14" s="6">
        <f>Tabla13[[#This Row],[Calculated HGA_(Ph1)]]/Tabla13[[#This Row],[Real HGA_(Ph1)]]</f>
        <v>0.99998296290669841</v>
      </c>
      <c r="AK14" s="6">
        <f>Tabla13[[#This Row],[Calculated HGA^H]]/Tabla13[[#This Row],[Real GA^H]]</f>
        <v>0.99998496189989927</v>
      </c>
      <c r="AL14" s="6">
        <f>Tabla13[[#This Row],[Calculated HGA_(Ph2)^H]]/Tabla13[[#This Row],[Real HGA_(Ph2)^H]]</f>
        <v>0.9999682656225094</v>
      </c>
      <c r="AM14" s="6">
        <f>Tabla13[[#This Row],[Calculated HGA_(Ph1)^H]]/Tabla13[[#This Row],[Real HGA_(Ph1)^H]]</f>
        <v>0.99998367237991392</v>
      </c>
    </row>
    <row r="15" spans="1:39">
      <c r="A15" s="6" t="str">
        <f t="shared" si="0"/>
        <v>1000genome</v>
      </c>
      <c r="B15" t="s">
        <v>4</v>
      </c>
      <c r="C15">
        <f>_xlfn.XLOOKUP(B15,Instances!$B$2:$B$29,Instances!$A$2:$A$29,,0,1)</f>
        <v>82</v>
      </c>
      <c r="D15">
        <v>8</v>
      </c>
      <c r="E15">
        <v>820.28199999999993</v>
      </c>
      <c r="F15">
        <v>820.28199999999993</v>
      </c>
      <c r="G15">
        <v>756.02909999999997</v>
      </c>
      <c r="H15">
        <v>758.17769999999996</v>
      </c>
      <c r="I15">
        <v>724.39920000000006</v>
      </c>
      <c r="J15">
        <v>812.28189999999995</v>
      </c>
      <c r="K15">
        <v>735.83540000000005</v>
      </c>
      <c r="L15">
        <v>723.65719999999999</v>
      </c>
      <c r="M15">
        <v>816.42679999999996</v>
      </c>
      <c r="N15" s="7">
        <f t="shared" si="1"/>
        <v>0</v>
      </c>
      <c r="O15" s="1">
        <f t="shared" si="6"/>
        <v>7.8330257155466002E-2</v>
      </c>
      <c r="P15" s="1">
        <f t="shared" si="7"/>
        <v>7.5710914051509079E-2</v>
      </c>
      <c r="Q15" s="1">
        <f t="shared" si="2"/>
        <v>0.1168900451308207</v>
      </c>
      <c r="R15" s="1">
        <f t="shared" si="8"/>
        <v>9.7528654779697414E-3</v>
      </c>
      <c r="S15" s="1">
        <f t="shared" si="3"/>
        <v>0.10294825438081036</v>
      </c>
      <c r="T15" s="1">
        <f t="shared" si="4"/>
        <v>0.11779461209681542</v>
      </c>
      <c r="U15" s="1">
        <f t="shared" si="5"/>
        <v>4.6998471257445225E-3</v>
      </c>
      <c r="V15">
        <v>665.63</v>
      </c>
      <c r="W15">
        <v>820.26</v>
      </c>
      <c r="X15">
        <v>601.85369999999989</v>
      </c>
      <c r="Y15">
        <v>758.14459999999997</v>
      </c>
      <c r="Z15">
        <v>724.36820000000012</v>
      </c>
      <c r="AA15">
        <v>812.25580000000014</v>
      </c>
      <c r="AB15">
        <v>735.82060000000001</v>
      </c>
      <c r="AC15">
        <v>723.62239999999997</v>
      </c>
      <c r="AD15">
        <v>816.40370000000007</v>
      </c>
      <c r="AE15" s="6">
        <f>Tabla13[[#This Row],[Calculated HEFT_NC]]/Tabla13[[#This Row],[Real HEFT_NC]]</f>
        <v>0.81146483770215616</v>
      </c>
      <c r="AF15" s="6">
        <f>Tabla13[[#This Row],[Calculated HEFT_DNC]]/Tabla13[[#This Row],[Real HEFT_DNC]]</f>
        <v>0.9999731799551862</v>
      </c>
      <c r="AG15" s="6">
        <f>Tabla13[[#This Row],[Calculated GA_NC]]/Tabla13[[#This Row],[Real GA_NC]]</f>
        <v>0.79607213531860077</v>
      </c>
      <c r="AH15" s="6">
        <f>Tabla13[[#This Row],[Calculated GA_DNC]]/Tabla13[[#This Row],[Real GA_DNC]]</f>
        <v>0.99995634268852807</v>
      </c>
      <c r="AI15" s="6">
        <f>Tabla13[[#This Row],[Calculated HGA_(Ph2)]]/Tabla13[[#This Row],[Real HGA_(Ph2)]]</f>
        <v>0.999957205916296</v>
      </c>
      <c r="AJ15" s="6">
        <f>Tabla13[[#This Row],[Calculated HGA_(Ph1)]]/Tabla13[[#This Row],[Real HGA_(Ph1)]]</f>
        <v>0.9999678682979396</v>
      </c>
      <c r="AK15" s="6">
        <f>Tabla13[[#This Row],[Calculated HGA^H]]/Tabla13[[#This Row],[Real GA^H]]</f>
        <v>0.99997988680620686</v>
      </c>
      <c r="AL15" s="6">
        <f>Tabla13[[#This Row],[Calculated HGA_(Ph2)^H]]/Tabla13[[#This Row],[Real HGA_(Ph2)^H]]</f>
        <v>0.99995191093241387</v>
      </c>
      <c r="AM15" s="6">
        <f>Tabla13[[#This Row],[Calculated HGA_(Ph1)^H]]/Tabla13[[#This Row],[Real HGA_(Ph1)^H]]</f>
        <v>0.99997170597535523</v>
      </c>
    </row>
    <row r="16" spans="1:39">
      <c r="A16" s="6" t="str">
        <f t="shared" si="0"/>
        <v>1000genome</v>
      </c>
      <c r="B16" t="s">
        <v>4</v>
      </c>
      <c r="C16">
        <f>_xlfn.XLOOKUP(B16,Instances!$B$2:$B$29,Instances!$A$2:$A$29,,0,1)</f>
        <v>82</v>
      </c>
      <c r="D16">
        <v>16</v>
      </c>
      <c r="E16">
        <v>499.04599999999999</v>
      </c>
      <c r="F16">
        <v>499.04599999999999</v>
      </c>
      <c r="G16">
        <v>498.09219999999999</v>
      </c>
      <c r="H16">
        <v>498.79559999999998</v>
      </c>
      <c r="I16">
        <v>492.75240000000002</v>
      </c>
      <c r="J16">
        <v>501.23230000000001</v>
      </c>
      <c r="K16">
        <v>499.0437</v>
      </c>
      <c r="L16">
        <v>492.76940000000002</v>
      </c>
      <c r="M16">
        <v>499.02300000000002</v>
      </c>
      <c r="N16" s="7">
        <f t="shared" si="1"/>
        <v>0</v>
      </c>
      <c r="O16" s="1">
        <f t="shared" si="6"/>
        <v>1.911246658624658E-3</v>
      </c>
      <c r="P16" s="1">
        <f t="shared" si="7"/>
        <v>5.0175735302960709E-4</v>
      </c>
      <c r="Q16" s="1">
        <f t="shared" si="2"/>
        <v>1.2611262288446294E-2</v>
      </c>
      <c r="R16" s="1">
        <f t="shared" si="8"/>
        <v>-4.3809588695230845E-3</v>
      </c>
      <c r="S16" s="1">
        <f t="shared" si="3"/>
        <v>4.6087935781292445E-6</v>
      </c>
      <c r="T16" s="1">
        <f t="shared" si="4"/>
        <v>1.257719729243391E-2</v>
      </c>
      <c r="U16" s="1">
        <f t="shared" si="5"/>
        <v>4.6087935781406351E-5</v>
      </c>
      <c r="V16">
        <v>410.66199999999998</v>
      </c>
      <c r="W16">
        <v>499.02400000000011</v>
      </c>
      <c r="X16">
        <v>409.69080000000002</v>
      </c>
      <c r="Y16">
        <v>498.75200000000012</v>
      </c>
      <c r="Z16">
        <v>492.71580000000012</v>
      </c>
      <c r="AA16">
        <v>501.20339999999999</v>
      </c>
      <c r="AB16">
        <v>499.01979999999998</v>
      </c>
      <c r="AC16">
        <v>492.73629999999991</v>
      </c>
      <c r="AD16">
        <v>498.99950000000013</v>
      </c>
      <c r="AE16" s="6">
        <f>Tabla13[[#This Row],[Calculated HEFT_NC]]/Tabla13[[#This Row],[Real HEFT_NC]]</f>
        <v>0.82289408190828095</v>
      </c>
      <c r="AF16" s="6">
        <f>Tabla13[[#This Row],[Calculated HEFT_DNC]]/Tabla13[[#This Row],[Real HEFT_DNC]]</f>
        <v>0.99995591588751365</v>
      </c>
      <c r="AG16" s="6">
        <f>Tabla13[[#This Row],[Calculated GA_NC]]/Tabla13[[#This Row],[Real GA_NC]]</f>
        <v>0.82252000734000663</v>
      </c>
      <c r="AH16" s="6">
        <f>Tabla13[[#This Row],[Calculated GA_DNC]]/Tabla13[[#This Row],[Real GA_DNC]]</f>
        <v>0.99991258944545647</v>
      </c>
      <c r="AI16" s="6">
        <f>Tabla13[[#This Row],[Calculated HGA_(Ph2)]]/Tabla13[[#This Row],[Real HGA_(Ph2)]]</f>
        <v>0.99992572334503105</v>
      </c>
      <c r="AJ16" s="6">
        <f>Tabla13[[#This Row],[Calculated HGA_(Ph1)]]/Tabla13[[#This Row],[Real HGA_(Ph1)]]</f>
        <v>0.99994234210365129</v>
      </c>
      <c r="AK16" s="6">
        <f>Tabla13[[#This Row],[Calculated HGA^H]]/Tabla13[[#This Row],[Real GA^H]]</f>
        <v>0.99995210840253068</v>
      </c>
      <c r="AL16" s="6">
        <f>Tabla13[[#This Row],[Calculated HGA_(Ph2)^H]]/Tabla13[[#This Row],[Real HGA_(Ph2)^H]]</f>
        <v>0.99993282862125754</v>
      </c>
      <c r="AM16" s="6">
        <f>Tabla13[[#This Row],[Calculated HGA_(Ph1)^H]]/Tabla13[[#This Row],[Real HGA_(Ph1)^H]]</f>
        <v>0.99995290798219738</v>
      </c>
    </row>
    <row r="17" spans="1:39">
      <c r="A17" s="6" t="str">
        <f t="shared" si="0"/>
        <v>1000genome</v>
      </c>
      <c r="B17" t="s">
        <v>5</v>
      </c>
      <c r="C17">
        <f>_xlfn.XLOOKUP(B17,Instances!$B$2:$B$29,Instances!$A$2:$A$29,,0,1)</f>
        <v>164</v>
      </c>
      <c r="D17">
        <v>1</v>
      </c>
      <c r="E17">
        <v>14106.1</v>
      </c>
      <c r="F17">
        <v>14106.1</v>
      </c>
      <c r="G17">
        <v>14106.1</v>
      </c>
      <c r="H17">
        <v>14106.1</v>
      </c>
      <c r="I17">
        <v>14106.1</v>
      </c>
      <c r="J17">
        <v>14106.1</v>
      </c>
      <c r="K17">
        <v>14106.1</v>
      </c>
      <c r="L17">
        <v>14106.1</v>
      </c>
      <c r="M17">
        <v>14106.1</v>
      </c>
      <c r="N17" s="7">
        <f t="shared" si="1"/>
        <v>0</v>
      </c>
      <c r="O17" s="1">
        <f t="shared" si="6"/>
        <v>0</v>
      </c>
      <c r="P17" s="1">
        <f t="shared" si="7"/>
        <v>0</v>
      </c>
      <c r="Q17" s="1">
        <f t="shared" si="2"/>
        <v>0</v>
      </c>
      <c r="R17" s="1">
        <f t="shared" si="8"/>
        <v>0</v>
      </c>
      <c r="S17" s="1">
        <f t="shared" si="3"/>
        <v>0</v>
      </c>
      <c r="T17" s="1">
        <f t="shared" si="4"/>
        <v>0</v>
      </c>
      <c r="U17" s="1">
        <f t="shared" si="5"/>
        <v>0</v>
      </c>
      <c r="V17">
        <v>11884.3</v>
      </c>
      <c r="W17">
        <v>14106.1</v>
      </c>
      <c r="X17">
        <v>11884.3</v>
      </c>
      <c r="Y17">
        <v>14106.1</v>
      </c>
      <c r="Z17">
        <v>14106.1</v>
      </c>
      <c r="AA17">
        <v>14106.1</v>
      </c>
      <c r="AB17">
        <v>14106.1</v>
      </c>
      <c r="AC17">
        <v>14106.1</v>
      </c>
      <c r="AD17">
        <v>14106.1</v>
      </c>
      <c r="AE17" s="6">
        <f>Tabla13[[#This Row],[Calculated HEFT_NC]]/Tabla13[[#This Row],[Real HEFT_NC]]</f>
        <v>0.84249367295000033</v>
      </c>
      <c r="AF17" s="6">
        <f>Tabla13[[#This Row],[Calculated HEFT_DNC]]/Tabla13[[#This Row],[Real HEFT_DNC]]</f>
        <v>1</v>
      </c>
      <c r="AG17" s="6">
        <f>Tabla13[[#This Row],[Calculated GA_NC]]/Tabla13[[#This Row],[Real GA_NC]]</f>
        <v>0.84249367295000033</v>
      </c>
      <c r="AH17" s="6">
        <f>Tabla13[[#This Row],[Calculated GA_DNC]]/Tabla13[[#This Row],[Real GA_DNC]]</f>
        <v>1</v>
      </c>
      <c r="AI17" s="6">
        <f>Tabla13[[#This Row],[Calculated HGA_(Ph2)]]/Tabla13[[#This Row],[Real HGA_(Ph2)]]</f>
        <v>1</v>
      </c>
      <c r="AJ17" s="6">
        <f>Tabla13[[#This Row],[Calculated HGA_(Ph1)]]/Tabla13[[#This Row],[Real HGA_(Ph1)]]</f>
        <v>1</v>
      </c>
      <c r="AK17" s="6">
        <f>Tabla13[[#This Row],[Calculated HGA^H]]/Tabla13[[#This Row],[Real GA^H]]</f>
        <v>1</v>
      </c>
      <c r="AL17" s="6">
        <f>Tabla13[[#This Row],[Calculated HGA_(Ph2)^H]]/Tabla13[[#This Row],[Real HGA_(Ph2)^H]]</f>
        <v>1</v>
      </c>
      <c r="AM17" s="6">
        <f>Tabla13[[#This Row],[Calculated HGA_(Ph1)^H]]/Tabla13[[#This Row],[Real HGA_(Ph1)^H]]</f>
        <v>1</v>
      </c>
    </row>
    <row r="18" spans="1:39">
      <c r="A18" s="6" t="str">
        <f t="shared" si="0"/>
        <v>1000genome</v>
      </c>
      <c r="B18" t="s">
        <v>5</v>
      </c>
      <c r="C18">
        <f>_xlfn.XLOOKUP(B18,Instances!$B$2:$B$29,Instances!$A$2:$A$29,,0,1)</f>
        <v>164</v>
      </c>
      <c r="D18">
        <v>2</v>
      </c>
      <c r="E18">
        <v>7053.43</v>
      </c>
      <c r="F18">
        <v>7053.83</v>
      </c>
      <c r="G18">
        <v>7071.6779999999999</v>
      </c>
      <c r="H18">
        <v>7053.2030000000004</v>
      </c>
      <c r="I18">
        <v>7053.23</v>
      </c>
      <c r="J18">
        <v>7053.2110000000002</v>
      </c>
      <c r="K18">
        <v>7053.2</v>
      </c>
      <c r="L18">
        <v>7053.2070000000003</v>
      </c>
      <c r="M18">
        <v>7053.2169999999996</v>
      </c>
      <c r="N18" s="7">
        <f t="shared" si="1"/>
        <v>-5.6709997830791005E-5</v>
      </c>
      <c r="O18" s="1">
        <f t="shared" si="6"/>
        <v>-2.5871101010429809E-3</v>
      </c>
      <c r="P18" s="1">
        <f t="shared" si="7"/>
        <v>3.2182923768983567E-5</v>
      </c>
      <c r="Q18" s="1">
        <f t="shared" si="2"/>
        <v>2.8354998915524445E-5</v>
      </c>
      <c r="R18" s="1">
        <f t="shared" si="8"/>
        <v>3.1048723812393531E-5</v>
      </c>
      <c r="S18" s="1">
        <f t="shared" si="3"/>
        <v>3.2608248752801537E-5</v>
      </c>
      <c r="T18" s="1">
        <f t="shared" si="4"/>
        <v>3.1615823790688552E-5</v>
      </c>
      <c r="U18" s="1">
        <f t="shared" si="5"/>
        <v>3.0198073845015482E-5</v>
      </c>
      <c r="V18">
        <v>5942.2299999999987</v>
      </c>
      <c r="W18">
        <v>7053.62</v>
      </c>
      <c r="X18">
        <v>5942.1350000000002</v>
      </c>
      <c r="Y18">
        <v>7053.0550000000003</v>
      </c>
      <c r="Z18">
        <v>7053.05</v>
      </c>
      <c r="AA18">
        <v>7053.067</v>
      </c>
      <c r="AB18">
        <v>7053.05</v>
      </c>
      <c r="AC18">
        <v>7053.05</v>
      </c>
      <c r="AD18">
        <v>7053.0839999999998</v>
      </c>
      <c r="AE18" s="6">
        <f>Tabla13[[#This Row],[Calculated HEFT_NC]]/Tabla13[[#This Row],[Real HEFT_NC]]</f>
        <v>0.84245962602591906</v>
      </c>
      <c r="AF18" s="6">
        <f>Tabla13[[#This Row],[Calculated HEFT_DNC]]/Tabla13[[#This Row],[Real HEFT_DNC]]</f>
        <v>0.99997022893945553</v>
      </c>
      <c r="AG18" s="6">
        <f>Tabla13[[#This Row],[Calculated GA_NC]]/Tabla13[[#This Row],[Real GA_NC]]</f>
        <v>0.84027228049693448</v>
      </c>
      <c r="AH18" s="6">
        <f>Tabla13[[#This Row],[Calculated GA_DNC]]/Tabla13[[#This Row],[Real GA_DNC]]</f>
        <v>0.99997901662549626</v>
      </c>
      <c r="AI18" s="6">
        <f>Tabla13[[#This Row],[Calculated HGA_(Ph2)]]/Tabla13[[#This Row],[Real HGA_(Ph2)]]</f>
        <v>0.99997447977735032</v>
      </c>
      <c r="AJ18" s="6">
        <f>Tabla13[[#This Row],[Calculated HGA_(Ph1)]]/Tabla13[[#This Row],[Real HGA_(Ph1)]]</f>
        <v>0.9999795837668829</v>
      </c>
      <c r="AK18" s="6">
        <f>Tabla13[[#This Row],[Calculated HGA^H]]/Tabla13[[#This Row],[Real GA^H]]</f>
        <v>0.99997873305733576</v>
      </c>
      <c r="AL18" s="6">
        <f>Tabla13[[#This Row],[Calculated HGA_(Ph2)^H]]/Tabla13[[#This Row],[Real HGA_(Ph2)^H]]</f>
        <v>0.99997774062210276</v>
      </c>
      <c r="AM18" s="6">
        <f>Tabla13[[#This Row],[Calculated HGA_(Ph1)^H]]/Tabla13[[#This Row],[Real HGA_(Ph1)^H]]</f>
        <v>0.99998114335628696</v>
      </c>
    </row>
    <row r="19" spans="1:39">
      <c r="A19" s="6" t="str">
        <f t="shared" si="0"/>
        <v>1000genome</v>
      </c>
      <c r="B19" t="s">
        <v>5</v>
      </c>
      <c r="C19">
        <f>_xlfn.XLOOKUP(B19,Instances!$B$2:$B$29,Instances!$A$2:$A$29,,0,1)</f>
        <v>164</v>
      </c>
      <c r="D19">
        <v>4</v>
      </c>
      <c r="E19">
        <v>3550.92</v>
      </c>
      <c r="F19">
        <v>3527.0100000000011</v>
      </c>
      <c r="G19">
        <v>3562.668999999999</v>
      </c>
      <c r="H19">
        <v>3527.3609999999999</v>
      </c>
      <c r="I19">
        <v>3526.652</v>
      </c>
      <c r="J19">
        <v>3561.447999999999</v>
      </c>
      <c r="K19">
        <v>3526.7979999999998</v>
      </c>
      <c r="L19">
        <v>3526.6320000000001</v>
      </c>
      <c r="M19">
        <v>3527.0100000000011</v>
      </c>
      <c r="N19" s="7">
        <f t="shared" si="1"/>
        <v>6.7334662566317866E-3</v>
      </c>
      <c r="O19" s="1">
        <f t="shared" si="6"/>
        <v>-3.3087199936914619E-3</v>
      </c>
      <c r="P19" s="1">
        <f t="shared" si="7"/>
        <v>6.6346186340441905E-3</v>
      </c>
      <c r="Q19" s="1">
        <f t="shared" si="2"/>
        <v>6.8342851993286324E-3</v>
      </c>
      <c r="R19" s="1">
        <f t="shared" si="8"/>
        <v>-2.9648654433214162E-3</v>
      </c>
      <c r="S19" s="1">
        <f t="shared" si="3"/>
        <v>6.7931690942066554E-3</v>
      </c>
      <c r="T19" s="1">
        <f t="shared" si="4"/>
        <v>6.8399175424960325E-3</v>
      </c>
      <c r="U19" s="1">
        <f t="shared" si="5"/>
        <v>6.7334662566317866E-3</v>
      </c>
      <c r="V19">
        <v>2974.82</v>
      </c>
      <c r="W19">
        <v>3526.91</v>
      </c>
      <c r="X19">
        <v>2971.8319999999999</v>
      </c>
      <c r="Y19">
        <v>3527.2669999999998</v>
      </c>
      <c r="Z19">
        <v>3526.556</v>
      </c>
      <c r="AA19">
        <v>3561.3649999999998</v>
      </c>
      <c r="AB19">
        <v>3526.697999999999</v>
      </c>
      <c r="AC19">
        <v>3526.5309999999999</v>
      </c>
      <c r="AD19">
        <v>3526.91</v>
      </c>
      <c r="AE19" s="6">
        <f>Tabla13[[#This Row],[Calculated HEFT_NC]]/Tabla13[[#This Row],[Real HEFT_NC]]</f>
        <v>0.83776035506291335</v>
      </c>
      <c r="AF19" s="6">
        <f>Tabla13[[#This Row],[Calculated HEFT_DNC]]/Tabla13[[#This Row],[Real HEFT_DNC]]</f>
        <v>0.99997164737270339</v>
      </c>
      <c r="AG19" s="6">
        <f>Tabla13[[#This Row],[Calculated GA_NC]]/Tabla13[[#This Row],[Real GA_NC]]</f>
        <v>0.8341588848136049</v>
      </c>
      <c r="AH19" s="6">
        <f>Tabla13[[#This Row],[Calculated GA_DNC]]/Tabla13[[#This Row],[Real GA_DNC]]</f>
        <v>0.99997335118237118</v>
      </c>
      <c r="AI19" s="6">
        <f>Tabla13[[#This Row],[Calculated HGA_(Ph2)]]/Tabla13[[#This Row],[Real HGA_(Ph2)]]</f>
        <v>0.99997277871476975</v>
      </c>
      <c r="AJ19" s="6">
        <f>Tabla13[[#This Row],[Calculated HGA_(Ph1)]]/Tabla13[[#This Row],[Real HGA_(Ph1)]]</f>
        <v>0.99997669487242291</v>
      </c>
      <c r="AK19" s="6">
        <f>Tabla13[[#This Row],[Calculated HGA^H]]/Tabla13[[#This Row],[Real GA^H]]</f>
        <v>0.99997164566839358</v>
      </c>
      <c r="AL19" s="6">
        <f>Tabla13[[#This Row],[Calculated HGA_(Ph2)^H]]/Tabla13[[#This Row],[Real HGA_(Ph2)^H]]</f>
        <v>0.99997136077708138</v>
      </c>
      <c r="AM19" s="6">
        <f>Tabla13[[#This Row],[Calculated HGA_(Ph1)^H]]/Tabla13[[#This Row],[Real HGA_(Ph1)^H]]</f>
        <v>0.99997164737270339</v>
      </c>
    </row>
    <row r="20" spans="1:39">
      <c r="A20" s="6" t="str">
        <f t="shared" si="0"/>
        <v>1000genome</v>
      </c>
      <c r="B20" t="s">
        <v>5</v>
      </c>
      <c r="C20">
        <f>_xlfn.XLOOKUP(B20,Instances!$B$2:$B$29,Instances!$A$2:$A$29,,0,1)</f>
        <v>164</v>
      </c>
      <c r="D20">
        <v>8</v>
      </c>
      <c r="E20">
        <v>1808.49</v>
      </c>
      <c r="F20">
        <v>1808.5</v>
      </c>
      <c r="G20">
        <v>1816.0429999999999</v>
      </c>
      <c r="H20">
        <v>1795.5350000000001</v>
      </c>
      <c r="I20">
        <v>1764.03</v>
      </c>
      <c r="J20">
        <v>1839.441</v>
      </c>
      <c r="K20">
        <v>1782.8030000000001</v>
      </c>
      <c r="L20">
        <v>1763.383</v>
      </c>
      <c r="M20">
        <v>1808.5</v>
      </c>
      <c r="N20" s="7">
        <f t="shared" si="1"/>
        <v>-5.5294748657669688E-6</v>
      </c>
      <c r="O20" s="1">
        <f t="shared" si="6"/>
        <v>-4.1764123661175252E-3</v>
      </c>
      <c r="P20" s="1">
        <f t="shared" si="7"/>
        <v>7.1634346886075831E-3</v>
      </c>
      <c r="Q20" s="1">
        <f t="shared" si="2"/>
        <v>2.458404525322232E-2</v>
      </c>
      <c r="R20" s="1">
        <f t="shared" si="8"/>
        <v>-1.7114277657050921E-2</v>
      </c>
      <c r="S20" s="1">
        <f t="shared" si="3"/>
        <v>1.4203562087708474E-2</v>
      </c>
      <c r="T20" s="1">
        <f t="shared" si="4"/>
        <v>2.4941802277037732E-2</v>
      </c>
      <c r="U20" s="1">
        <f t="shared" si="5"/>
        <v>-5.5294748657669688E-6</v>
      </c>
      <c r="V20">
        <v>1543.36</v>
      </c>
      <c r="W20">
        <v>1808.43</v>
      </c>
      <c r="X20">
        <v>1512.8219999999999</v>
      </c>
      <c r="Y20">
        <v>1795.49</v>
      </c>
      <c r="Z20">
        <v>1763.99</v>
      </c>
      <c r="AA20">
        <v>1839.3579999999999</v>
      </c>
      <c r="AB20">
        <v>1782.7619999999999</v>
      </c>
      <c r="AC20">
        <v>1763.325</v>
      </c>
      <c r="AD20">
        <v>1808.43</v>
      </c>
      <c r="AE20" s="6">
        <f>Tabla13[[#This Row],[Calculated HEFT_NC]]/Tabla13[[#This Row],[Real HEFT_NC]]</f>
        <v>0.85339703288378699</v>
      </c>
      <c r="AF20" s="6">
        <f>Tabla13[[#This Row],[Calculated HEFT_DNC]]/Tabla13[[#This Row],[Real HEFT_DNC]]</f>
        <v>0.99996129388996413</v>
      </c>
      <c r="AG20" s="6">
        <f>Tabla13[[#This Row],[Calculated GA_NC]]/Tabla13[[#This Row],[Real GA_NC]]</f>
        <v>0.8330320372370037</v>
      </c>
      <c r="AH20" s="6">
        <f>Tabla13[[#This Row],[Calculated GA_DNC]]/Tabla13[[#This Row],[Real GA_DNC]]</f>
        <v>0.99997493783189961</v>
      </c>
      <c r="AI20" s="6">
        <f>Tabla13[[#This Row],[Calculated HGA_(Ph2)]]/Tabla13[[#This Row],[Real HGA_(Ph2)]]</f>
        <v>0.99997732464867384</v>
      </c>
      <c r="AJ20" s="6">
        <f>Tabla13[[#This Row],[Calculated HGA_(Ph1)]]/Tabla13[[#This Row],[Real HGA_(Ph1)]]</f>
        <v>0.99995487759596524</v>
      </c>
      <c r="AK20" s="6">
        <f>Tabla13[[#This Row],[Calculated HGA^H]]/Tabla13[[#This Row],[Real GA^H]]</f>
        <v>0.99997700250672672</v>
      </c>
      <c r="AL20" s="6">
        <f>Tabla13[[#This Row],[Calculated HGA_(Ph2)^H]]/Tabla13[[#This Row],[Real HGA_(Ph2)^H]]</f>
        <v>0.9999671086769012</v>
      </c>
      <c r="AM20" s="6">
        <f>Tabla13[[#This Row],[Calculated HGA_(Ph1)^H]]/Tabla13[[#This Row],[Real HGA_(Ph1)^H]]</f>
        <v>0.99996129388996413</v>
      </c>
    </row>
    <row r="21" spans="1:39">
      <c r="A21" s="6" t="str">
        <f t="shared" si="0"/>
        <v>1000genome</v>
      </c>
      <c r="B21" t="s">
        <v>5</v>
      </c>
      <c r="C21">
        <f>_xlfn.XLOOKUP(B21,Instances!$B$2:$B$29,Instances!$A$2:$A$29,,0,1)</f>
        <v>164</v>
      </c>
      <c r="D21">
        <v>16</v>
      </c>
      <c r="E21">
        <v>950.03199999999993</v>
      </c>
      <c r="F21">
        <v>950.03199999999993</v>
      </c>
      <c r="G21">
        <v>1009.3487</v>
      </c>
      <c r="H21">
        <v>984.06880000000001</v>
      </c>
      <c r="I21">
        <v>892.05409999999995</v>
      </c>
      <c r="J21">
        <v>996.33109999999999</v>
      </c>
      <c r="K21">
        <v>913.54969999999992</v>
      </c>
      <c r="L21">
        <v>883.63319999999999</v>
      </c>
      <c r="M21">
        <v>950.03199999999993</v>
      </c>
      <c r="N21" s="7">
        <f t="shared" si="1"/>
        <v>0</v>
      </c>
      <c r="O21" s="1">
        <f t="shared" si="6"/>
        <v>-6.2436528453778492E-2</v>
      </c>
      <c r="P21" s="1">
        <f t="shared" si="7"/>
        <v>-3.5827003721979986E-2</v>
      </c>
      <c r="Q21" s="1">
        <f t="shared" si="2"/>
        <v>6.1027312764201605E-2</v>
      </c>
      <c r="R21" s="1">
        <f t="shared" si="8"/>
        <v>-4.8734253161998829E-2</v>
      </c>
      <c r="S21" s="1">
        <f t="shared" si="3"/>
        <v>3.8401127540967056E-2</v>
      </c>
      <c r="T21" s="1">
        <f t="shared" si="4"/>
        <v>6.989111945702875E-2</v>
      </c>
      <c r="U21" s="1">
        <f t="shared" si="5"/>
        <v>0</v>
      </c>
      <c r="V21">
        <v>817.43599999999992</v>
      </c>
      <c r="W21">
        <v>949.97399999999993</v>
      </c>
      <c r="X21">
        <v>854.83809999999994</v>
      </c>
      <c r="Y21">
        <v>983.96060000000011</v>
      </c>
      <c r="Z21">
        <v>892.01860000000011</v>
      </c>
      <c r="AA21">
        <v>996.23170000000005</v>
      </c>
      <c r="AB21">
        <v>913.53239999999983</v>
      </c>
      <c r="AC21">
        <v>883.56810000000007</v>
      </c>
      <c r="AD21">
        <v>949.97399999999993</v>
      </c>
      <c r="AE21" s="6">
        <f>Tabla13[[#This Row],[Calculated HEFT_NC]]/Tabla13[[#This Row],[Real HEFT_NC]]</f>
        <v>0.86042996446435482</v>
      </c>
      <c r="AF21" s="6">
        <f>Tabla13[[#This Row],[Calculated HEFT_DNC]]/Tabla13[[#This Row],[Real HEFT_DNC]]</f>
        <v>0.9999389494248615</v>
      </c>
      <c r="AG21" s="6">
        <f>Tabla13[[#This Row],[Calculated GA_NC]]/Tabla13[[#This Row],[Real GA_NC]]</f>
        <v>0.84692049437424344</v>
      </c>
      <c r="AH21" s="6">
        <f>Tabla13[[#This Row],[Calculated GA_DNC]]/Tabla13[[#This Row],[Real GA_DNC]]</f>
        <v>0.99989004833808381</v>
      </c>
      <c r="AI21" s="6">
        <f>Tabla13[[#This Row],[Calculated HGA_(Ph2)]]/Tabla13[[#This Row],[Real HGA_(Ph2)]]</f>
        <v>0.99996020420734588</v>
      </c>
      <c r="AJ21" s="6">
        <f>Tabla13[[#This Row],[Calculated HGA_(Ph1)]]/Tabla13[[#This Row],[Real HGA_(Ph1)]]</f>
        <v>0.99990023396840677</v>
      </c>
      <c r="AK21" s="6">
        <f>Tabla13[[#This Row],[Calculated HGA^H]]/Tabla13[[#This Row],[Real GA^H]]</f>
        <v>0.99998106288032262</v>
      </c>
      <c r="AL21" s="6">
        <f>Tabla13[[#This Row],[Calculated HGA_(Ph2)^H]]/Tabla13[[#This Row],[Real HGA_(Ph2)^H]]</f>
        <v>0.999926326896726</v>
      </c>
      <c r="AM21" s="6">
        <f>Tabla13[[#This Row],[Calculated HGA_(Ph1)^H]]/Tabla13[[#This Row],[Real HGA_(Ph1)^H]]</f>
        <v>0.9999389494248615</v>
      </c>
    </row>
    <row r="22" spans="1:39">
      <c r="A22" s="6" t="str">
        <f t="shared" si="0"/>
        <v>cycles</v>
      </c>
      <c r="B22" t="s">
        <v>6</v>
      </c>
      <c r="C22">
        <f>_xlfn.XLOOKUP(B22,Instances!$B$2:$B$29,Instances!$A$2:$A$29,,0,1)</f>
        <v>67</v>
      </c>
      <c r="D22">
        <v>1</v>
      </c>
      <c r="E22">
        <v>867.33799999999997</v>
      </c>
      <c r="F22">
        <v>867.33799999999997</v>
      </c>
      <c r="G22">
        <v>867.33799999999997</v>
      </c>
      <c r="H22">
        <v>867.33799999999997</v>
      </c>
      <c r="I22">
        <v>867.33799999999997</v>
      </c>
      <c r="J22">
        <v>867.33799999999997</v>
      </c>
      <c r="K22">
        <v>867.33799999999997</v>
      </c>
      <c r="L22">
        <v>867.33799999999997</v>
      </c>
      <c r="M22">
        <v>867.33799999999997</v>
      </c>
      <c r="N22" s="7">
        <f t="shared" si="1"/>
        <v>0</v>
      </c>
      <c r="O22" s="1">
        <f t="shared" si="6"/>
        <v>0</v>
      </c>
      <c r="P22" s="1">
        <f t="shared" si="7"/>
        <v>0</v>
      </c>
      <c r="Q22" s="1">
        <f t="shared" si="2"/>
        <v>0</v>
      </c>
      <c r="R22" s="1">
        <f t="shared" si="8"/>
        <v>0</v>
      </c>
      <c r="S22" s="1">
        <f t="shared" si="3"/>
        <v>0</v>
      </c>
      <c r="T22" s="1">
        <f t="shared" si="4"/>
        <v>0</v>
      </c>
      <c r="U22" s="1">
        <f t="shared" si="5"/>
        <v>0</v>
      </c>
      <c r="V22">
        <v>862.69899999999996</v>
      </c>
      <c r="W22">
        <v>867.28300000000002</v>
      </c>
      <c r="X22">
        <v>862.69899999999996</v>
      </c>
      <c r="Y22">
        <v>867.28300000000002</v>
      </c>
      <c r="Z22">
        <v>867.28300000000002</v>
      </c>
      <c r="AA22">
        <v>867.28300000000002</v>
      </c>
      <c r="AB22">
        <v>867.28300000000002</v>
      </c>
      <c r="AC22">
        <v>867.28300000000002</v>
      </c>
      <c r="AD22">
        <v>867.28300000000002</v>
      </c>
      <c r="AE22" s="6">
        <f>Tabla13[[#This Row],[Calculated HEFT_NC]]/Tabla13[[#This Row],[Real HEFT_NC]]</f>
        <v>0.99465145076083372</v>
      </c>
      <c r="AF22" s="6">
        <f>Tabla13[[#This Row],[Calculated HEFT_DNC]]/Tabla13[[#This Row],[Real HEFT_DNC]]</f>
        <v>0.99993658758177328</v>
      </c>
      <c r="AG22" s="6">
        <f>Tabla13[[#This Row],[Calculated GA_NC]]/Tabla13[[#This Row],[Real GA_NC]]</f>
        <v>0.99465145076083372</v>
      </c>
      <c r="AH22" s="6">
        <f>Tabla13[[#This Row],[Calculated GA_DNC]]/Tabla13[[#This Row],[Real GA_DNC]]</f>
        <v>0.99993658758177328</v>
      </c>
      <c r="AI22" s="6">
        <f>Tabla13[[#This Row],[Calculated HGA_(Ph2)]]/Tabla13[[#This Row],[Real HGA_(Ph2)]]</f>
        <v>0.99993658758177328</v>
      </c>
      <c r="AJ22" s="6">
        <f>Tabla13[[#This Row],[Calculated HGA_(Ph1)]]/Tabla13[[#This Row],[Real HGA_(Ph1)]]</f>
        <v>0.99993658758177328</v>
      </c>
      <c r="AK22" s="6">
        <f>Tabla13[[#This Row],[Calculated HGA^H]]/Tabla13[[#This Row],[Real GA^H]]</f>
        <v>0.99993658758177328</v>
      </c>
      <c r="AL22" s="6">
        <f>Tabla13[[#This Row],[Calculated HGA_(Ph2)^H]]/Tabla13[[#This Row],[Real HGA_(Ph2)^H]]</f>
        <v>0.99993658758177328</v>
      </c>
      <c r="AM22" s="6">
        <f>Tabla13[[#This Row],[Calculated HGA_(Ph1)^H]]/Tabla13[[#This Row],[Real HGA_(Ph1)^H]]</f>
        <v>0.99993658758177328</v>
      </c>
    </row>
    <row r="23" spans="1:39">
      <c r="A23" s="6" t="str">
        <f t="shared" si="0"/>
        <v>cycles</v>
      </c>
      <c r="B23" t="s">
        <v>6</v>
      </c>
      <c r="C23">
        <f>_xlfn.XLOOKUP(B23,Instances!$B$2:$B$29,Instances!$A$2:$A$29,,0,1)</f>
        <v>67</v>
      </c>
      <c r="D23">
        <v>2</v>
      </c>
      <c r="E23">
        <v>433.99799999999988</v>
      </c>
      <c r="F23">
        <v>434.48399999999998</v>
      </c>
      <c r="G23">
        <v>433.98309999999998</v>
      </c>
      <c r="H23">
        <v>434.18520000000001</v>
      </c>
      <c r="I23">
        <v>433.67779999999999</v>
      </c>
      <c r="J23">
        <v>433.73869999999999</v>
      </c>
      <c r="K23">
        <v>433.70580000000001</v>
      </c>
      <c r="L23">
        <v>433.67750000000001</v>
      </c>
      <c r="M23">
        <v>433.73759999999999</v>
      </c>
      <c r="N23" s="7">
        <f t="shared" si="1"/>
        <v>-1.1198208286676524E-3</v>
      </c>
      <c r="O23" s="1">
        <f t="shared" si="6"/>
        <v>3.4331955446563759E-5</v>
      </c>
      <c r="P23" s="1">
        <f t="shared" si="7"/>
        <v>-4.3133839326478968E-4</v>
      </c>
      <c r="Q23" s="1">
        <f t="shared" si="2"/>
        <v>7.3779141839337096E-4</v>
      </c>
      <c r="R23" s="1">
        <f t="shared" si="8"/>
        <v>5.9746819109738399E-4</v>
      </c>
      <c r="S23" s="1">
        <f t="shared" si="3"/>
        <v>6.7327499205034635E-4</v>
      </c>
      <c r="T23" s="1">
        <f t="shared" si="4"/>
        <v>7.384826658184318E-4</v>
      </c>
      <c r="U23" s="1">
        <f t="shared" si="5"/>
        <v>6.0000276498944829E-4</v>
      </c>
      <c r="V23">
        <v>431.85599999999988</v>
      </c>
      <c r="W23">
        <v>434.45499999999998</v>
      </c>
      <c r="X23">
        <v>431.37560000000002</v>
      </c>
      <c r="Y23">
        <v>434.15440000000001</v>
      </c>
      <c r="Z23">
        <v>433.642</v>
      </c>
      <c r="AA23">
        <v>433.70279999999991</v>
      </c>
      <c r="AB23">
        <v>433.67140000000001</v>
      </c>
      <c r="AC23">
        <v>433.642</v>
      </c>
      <c r="AD23">
        <v>433.70260000000007</v>
      </c>
      <c r="AE23" s="6">
        <f>Tabla13[[#This Row],[Calculated HEFT_NC]]/Tabla13[[#This Row],[Real HEFT_NC]]</f>
        <v>0.99506449338476211</v>
      </c>
      <c r="AF23" s="6">
        <f>Tabla13[[#This Row],[Calculated HEFT_DNC]]/Tabla13[[#This Row],[Real HEFT_DNC]]</f>
        <v>0.9999332541589564</v>
      </c>
      <c r="AG23" s="6">
        <f>Tabla13[[#This Row],[Calculated GA_NC]]/Tabla13[[#This Row],[Real GA_NC]]</f>
        <v>0.99399170152017446</v>
      </c>
      <c r="AH23" s="6">
        <f>Tabla13[[#This Row],[Calculated GA_DNC]]/Tabla13[[#This Row],[Real GA_DNC]]</f>
        <v>0.99992906252907743</v>
      </c>
      <c r="AI23" s="6">
        <f>Tabla13[[#This Row],[Calculated HGA_(Ph2)]]/Tabla13[[#This Row],[Real HGA_(Ph2)]]</f>
        <v>0.99991745023609691</v>
      </c>
      <c r="AJ23" s="6">
        <f>Tabla13[[#This Row],[Calculated HGA_(Ph1)]]/Tabla13[[#This Row],[Real HGA_(Ph1)]]</f>
        <v>0.99991723127311427</v>
      </c>
      <c r="AK23" s="6">
        <f>Tabla13[[#This Row],[Calculated HGA^H]]/Tabla13[[#This Row],[Real GA^H]]</f>
        <v>0.99992068356014607</v>
      </c>
      <c r="AL23" s="6">
        <f>Tabla13[[#This Row],[Calculated HGA_(Ph2)^H]]/Tabla13[[#This Row],[Real HGA_(Ph2)^H]]</f>
        <v>0.99991814193726902</v>
      </c>
      <c r="AM23" s="6">
        <f>Tabla13[[#This Row],[Calculated HGA_(Ph1)^H]]/Tabla13[[#This Row],[Real HGA_(Ph1)^H]]</f>
        <v>0.99991930605047863</v>
      </c>
    </row>
    <row r="24" spans="1:39">
      <c r="A24" s="6" t="str">
        <f t="shared" si="0"/>
        <v>cycles</v>
      </c>
      <c r="B24" t="s">
        <v>6</v>
      </c>
      <c r="C24">
        <f>_xlfn.XLOOKUP(B24,Instances!$B$2:$B$29,Instances!$A$2:$A$29,,0,1)</f>
        <v>67</v>
      </c>
      <c r="D24">
        <v>4</v>
      </c>
      <c r="E24">
        <v>244.23400000000001</v>
      </c>
      <c r="F24">
        <v>244.23400000000001</v>
      </c>
      <c r="G24">
        <v>251.67519999999999</v>
      </c>
      <c r="H24">
        <v>250.9023</v>
      </c>
      <c r="I24">
        <v>256.21280000000002</v>
      </c>
      <c r="J24">
        <v>246.7808</v>
      </c>
      <c r="K24">
        <v>242.8766</v>
      </c>
      <c r="L24">
        <v>241.94069999999999</v>
      </c>
      <c r="M24">
        <v>242.93680000000001</v>
      </c>
      <c r="N24" s="7">
        <f t="shared" si="1"/>
        <v>0</v>
      </c>
      <c r="O24" s="1">
        <f t="shared" si="6"/>
        <v>-3.0467502477132508E-2</v>
      </c>
      <c r="P24" s="1">
        <f t="shared" si="7"/>
        <v>-2.730291441813993E-2</v>
      </c>
      <c r="Q24" s="1">
        <f t="shared" si="2"/>
        <v>-4.9046406315255066E-2</v>
      </c>
      <c r="R24" s="1">
        <f t="shared" si="8"/>
        <v>-1.0427704578396089E-2</v>
      </c>
      <c r="S24" s="1">
        <f t="shared" si="3"/>
        <v>5.5577847474144165E-3</v>
      </c>
      <c r="T24" s="1">
        <f t="shared" si="4"/>
        <v>9.389765552707716E-3</v>
      </c>
      <c r="U24" s="1">
        <f t="shared" si="5"/>
        <v>5.3112998190260313E-3</v>
      </c>
      <c r="V24">
        <v>243.43199999999999</v>
      </c>
      <c r="W24">
        <v>244.22300000000001</v>
      </c>
      <c r="X24">
        <v>250.79339999999999</v>
      </c>
      <c r="Y24">
        <v>250.89009999999999</v>
      </c>
      <c r="Z24">
        <v>256.20010000000002</v>
      </c>
      <c r="AA24">
        <v>246.7664</v>
      </c>
      <c r="AB24">
        <v>242.86500000000001</v>
      </c>
      <c r="AC24">
        <v>241.92910000000001</v>
      </c>
      <c r="AD24">
        <v>242.92339999999999</v>
      </c>
      <c r="AE24" s="6">
        <f>Tabla13[[#This Row],[Calculated HEFT_NC]]/Tabla13[[#This Row],[Real HEFT_NC]]</f>
        <v>0.99671626391083956</v>
      </c>
      <c r="AF24" s="6">
        <f>Tabla13[[#This Row],[Calculated HEFT_DNC]]/Tabla13[[#This Row],[Real HEFT_DNC]]</f>
        <v>0.99995496122570982</v>
      </c>
      <c r="AG24" s="6">
        <f>Tabla13[[#This Row],[Calculated GA_NC]]/Tabla13[[#This Row],[Real GA_NC]]</f>
        <v>0.9964962777421057</v>
      </c>
      <c r="AH24" s="6">
        <f>Tabla13[[#This Row],[Calculated GA_DNC]]/Tabla13[[#This Row],[Real GA_DNC]]</f>
        <v>0.99995137549556135</v>
      </c>
      <c r="AI24" s="6">
        <f>Tabla13[[#This Row],[Calculated HGA_(Ph2)]]/Tabla13[[#This Row],[Real HGA_(Ph2)]]</f>
        <v>0.9999504318285426</v>
      </c>
      <c r="AJ24" s="6">
        <f>Tabla13[[#This Row],[Calculated HGA_(Ph1)]]/Tabla13[[#This Row],[Real HGA_(Ph1)]]</f>
        <v>0.99994164862096246</v>
      </c>
      <c r="AK24" s="6">
        <f>Tabla13[[#This Row],[Calculated HGA^H]]/Tabla13[[#This Row],[Real GA^H]]</f>
        <v>0.99995223912060693</v>
      </c>
      <c r="AL24" s="6">
        <f>Tabla13[[#This Row],[Calculated HGA_(Ph2)^H]]/Tabla13[[#This Row],[Real HGA_(Ph2)^H]]</f>
        <v>0.99995205436704127</v>
      </c>
      <c r="AM24" s="6">
        <f>Tabla13[[#This Row],[Calculated HGA_(Ph1)^H]]/Tabla13[[#This Row],[Real HGA_(Ph1)^H]]</f>
        <v>0.99994484162135988</v>
      </c>
    </row>
    <row r="25" spans="1:39">
      <c r="A25" s="6" t="str">
        <f t="shared" si="0"/>
        <v>cycles</v>
      </c>
      <c r="B25" t="s">
        <v>6</v>
      </c>
      <c r="C25">
        <f>_xlfn.XLOOKUP(B25,Instances!$B$2:$B$29,Instances!$A$2:$A$29,,0,1)</f>
        <v>67</v>
      </c>
      <c r="D25">
        <v>8</v>
      </c>
      <c r="E25">
        <v>186.41900000000001</v>
      </c>
      <c r="F25">
        <v>186.41900000000001</v>
      </c>
      <c r="G25">
        <v>191.49940000000001</v>
      </c>
      <c r="H25">
        <v>192.64769999999999</v>
      </c>
      <c r="I25">
        <v>190.70400000000001</v>
      </c>
      <c r="J25">
        <v>188.81870000000001</v>
      </c>
      <c r="K25">
        <v>186.41569999999999</v>
      </c>
      <c r="L25">
        <v>184.51429999999999</v>
      </c>
      <c r="M25">
        <v>186.41900000000001</v>
      </c>
      <c r="N25" s="7">
        <f t="shared" si="1"/>
        <v>0</v>
      </c>
      <c r="O25" s="1">
        <f t="shared" si="6"/>
        <v>-2.7252586914423942E-2</v>
      </c>
      <c r="P25" s="1">
        <f t="shared" si="7"/>
        <v>-3.3412366765190105E-2</v>
      </c>
      <c r="Q25" s="1">
        <f t="shared" si="2"/>
        <v>-2.2985854446166947E-2</v>
      </c>
      <c r="R25" s="1">
        <f t="shared" si="8"/>
        <v>-1.2872614915861558E-2</v>
      </c>
      <c r="S25" s="1">
        <f t="shared" si="3"/>
        <v>1.7702058266723258E-5</v>
      </c>
      <c r="T25" s="1">
        <f t="shared" si="4"/>
        <v>1.0217306175872735E-2</v>
      </c>
      <c r="U25" s="1">
        <f t="shared" si="5"/>
        <v>0</v>
      </c>
      <c r="V25">
        <v>186.00200000000001</v>
      </c>
      <c r="W25">
        <v>186.41200000000001</v>
      </c>
      <c r="X25">
        <v>191.0419</v>
      </c>
      <c r="Y25">
        <v>192.6397</v>
      </c>
      <c r="Z25">
        <v>190.6969</v>
      </c>
      <c r="AA25">
        <v>188.80930000000001</v>
      </c>
      <c r="AB25">
        <v>186.40860000000001</v>
      </c>
      <c r="AC25">
        <v>184.5077</v>
      </c>
      <c r="AD25">
        <v>186.41200000000001</v>
      </c>
      <c r="AE25" s="6">
        <f>Tabla13[[#This Row],[Calculated HEFT_NC]]/Tabla13[[#This Row],[Real HEFT_NC]]</f>
        <v>0.99776310354631237</v>
      </c>
      <c r="AF25" s="6">
        <f>Tabla13[[#This Row],[Calculated HEFT_DNC]]/Tabla13[[#This Row],[Real HEFT_DNC]]</f>
        <v>0.99996245017943453</v>
      </c>
      <c r="AG25" s="6">
        <f>Tabla13[[#This Row],[Calculated GA_NC]]/Tabla13[[#This Row],[Real GA_NC]]</f>
        <v>0.99761095857219395</v>
      </c>
      <c r="AH25" s="6">
        <f>Tabla13[[#This Row],[Calculated GA_DNC]]/Tabla13[[#This Row],[Real GA_DNC]]</f>
        <v>0.99995847342065347</v>
      </c>
      <c r="AI25" s="6">
        <f>Tabla13[[#This Row],[Calculated HGA_(Ph2)]]/Tabla13[[#This Row],[Real HGA_(Ph2)]]</f>
        <v>0.99996276952764485</v>
      </c>
      <c r="AJ25" s="6">
        <f>Tabla13[[#This Row],[Calculated HGA_(Ph1)]]/Tabla13[[#This Row],[Real HGA_(Ph1)]]</f>
        <v>0.99995021679526441</v>
      </c>
      <c r="AK25" s="6">
        <f>Tabla13[[#This Row],[Calculated HGA^H]]/Tabla13[[#This Row],[Real GA^H]]</f>
        <v>0.99996191307920967</v>
      </c>
      <c r="AL25" s="6">
        <f>Tabla13[[#This Row],[Calculated HGA_(Ph2)^H]]/Tabla13[[#This Row],[Real HGA_(Ph2)^H]]</f>
        <v>0.99996423041466165</v>
      </c>
      <c r="AM25" s="6">
        <f>Tabla13[[#This Row],[Calculated HGA_(Ph1)^H]]/Tabla13[[#This Row],[Real HGA_(Ph1)^H]]</f>
        <v>0.99996245017943453</v>
      </c>
    </row>
    <row r="26" spans="1:39">
      <c r="A26" s="6" t="str">
        <f t="shared" si="0"/>
        <v>cycles</v>
      </c>
      <c r="B26" t="s">
        <v>6</v>
      </c>
      <c r="C26">
        <f>_xlfn.XLOOKUP(B26,Instances!$B$2:$B$29,Instances!$A$2:$A$29,,0,1)</f>
        <v>67</v>
      </c>
      <c r="D26">
        <v>16</v>
      </c>
      <c r="E26">
        <v>163.64599999999999</v>
      </c>
      <c r="F26">
        <v>163.64599999999999</v>
      </c>
      <c r="G26">
        <v>163.89240000000001</v>
      </c>
      <c r="H26">
        <v>163.64670000000001</v>
      </c>
      <c r="I26">
        <v>163.64599999999999</v>
      </c>
      <c r="J26">
        <v>163.64699999999999</v>
      </c>
      <c r="K26">
        <v>163.64599999999999</v>
      </c>
      <c r="L26">
        <v>163.64599999999999</v>
      </c>
      <c r="M26">
        <v>163.6465</v>
      </c>
      <c r="N26" s="7">
        <f t="shared" si="1"/>
        <v>0</v>
      </c>
      <c r="O26" s="1">
        <f t="shared" si="6"/>
        <v>-1.5056891094192503E-3</v>
      </c>
      <c r="P26" s="1">
        <f t="shared" si="7"/>
        <v>-4.2775258791735677E-6</v>
      </c>
      <c r="Q26" s="1">
        <f t="shared" si="2"/>
        <v>0</v>
      </c>
      <c r="R26" s="1">
        <f t="shared" si="8"/>
        <v>-6.1107512557885613E-6</v>
      </c>
      <c r="S26" s="1">
        <f t="shared" si="3"/>
        <v>0</v>
      </c>
      <c r="T26" s="1">
        <f t="shared" si="4"/>
        <v>0</v>
      </c>
      <c r="U26" s="1">
        <f t="shared" si="5"/>
        <v>-3.0553756279811197E-6</v>
      </c>
      <c r="V26">
        <v>163.41499999999999</v>
      </c>
      <c r="W26">
        <v>163.642</v>
      </c>
      <c r="X26">
        <v>163.6611</v>
      </c>
      <c r="Y26">
        <v>163.642</v>
      </c>
      <c r="Z26">
        <v>163.642</v>
      </c>
      <c r="AA26">
        <v>163.642</v>
      </c>
      <c r="AB26">
        <v>163.642</v>
      </c>
      <c r="AC26">
        <v>163.642</v>
      </c>
      <c r="AD26">
        <v>163.642</v>
      </c>
      <c r="AE26" s="6">
        <f>Tabla13[[#This Row],[Calculated HEFT_NC]]/Tabla13[[#This Row],[Real HEFT_NC]]</f>
        <v>0.99858841645991958</v>
      </c>
      <c r="AF26" s="6">
        <f>Tabla13[[#This Row],[Calculated HEFT_DNC]]/Tabla13[[#This Row],[Real HEFT_DNC]]</f>
        <v>0.99997555699497698</v>
      </c>
      <c r="AG26" s="6">
        <f>Tabla13[[#This Row],[Calculated GA_NC]]/Tabla13[[#This Row],[Real GA_NC]]</f>
        <v>0.99858870820123447</v>
      </c>
      <c r="AH26" s="6">
        <f>Tabla13[[#This Row],[Calculated GA_DNC]]/Tabla13[[#This Row],[Real GA_DNC]]</f>
        <v>0.99997127959195009</v>
      </c>
      <c r="AI26" s="6">
        <f>Tabla13[[#This Row],[Calculated HGA_(Ph2)]]/Tabla13[[#This Row],[Real HGA_(Ph2)]]</f>
        <v>0.99997555699497698</v>
      </c>
      <c r="AJ26" s="6">
        <f>Tabla13[[#This Row],[Calculated HGA_(Ph1)]]/Tabla13[[#This Row],[Real HGA_(Ph1)]]</f>
        <v>0.99996944643042651</v>
      </c>
      <c r="AK26" s="6">
        <f>Tabla13[[#This Row],[Calculated HGA^H]]/Tabla13[[#This Row],[Real GA^H]]</f>
        <v>0.99997555699497698</v>
      </c>
      <c r="AL26" s="6">
        <f>Tabla13[[#This Row],[Calculated HGA_(Ph2)^H]]/Tabla13[[#This Row],[Real HGA_(Ph2)^H]]</f>
        <v>0.99997555699497698</v>
      </c>
      <c r="AM26" s="6">
        <f>Tabla13[[#This Row],[Calculated HGA_(Ph1)^H]]/Tabla13[[#This Row],[Real HGA_(Ph1)^H]]</f>
        <v>0.99997250170336671</v>
      </c>
    </row>
    <row r="27" spans="1:39">
      <c r="A27" s="6" t="str">
        <f t="shared" si="0"/>
        <v>cycles</v>
      </c>
      <c r="B27" t="s">
        <v>7</v>
      </c>
      <c r="C27">
        <f>_xlfn.XLOOKUP(B27,Instances!$B$2:$B$29,Instances!$A$2:$A$29,,0,1)</f>
        <v>437</v>
      </c>
      <c r="D27">
        <v>1</v>
      </c>
      <c r="E27">
        <v>8338.19</v>
      </c>
      <c r="F27">
        <v>8338.19</v>
      </c>
      <c r="G27">
        <v>8338.19</v>
      </c>
      <c r="H27">
        <v>8338.19</v>
      </c>
      <c r="I27">
        <v>8338.19</v>
      </c>
      <c r="J27">
        <v>8338.19</v>
      </c>
      <c r="K27">
        <v>8338.19</v>
      </c>
      <c r="L27">
        <v>8338.19</v>
      </c>
      <c r="M27">
        <v>8338.19</v>
      </c>
      <c r="N27" s="7">
        <f t="shared" si="1"/>
        <v>0</v>
      </c>
      <c r="O27" s="1">
        <f t="shared" si="6"/>
        <v>0</v>
      </c>
      <c r="P27" s="1">
        <f t="shared" si="7"/>
        <v>0</v>
      </c>
      <c r="Q27" s="1">
        <f t="shared" si="2"/>
        <v>0</v>
      </c>
      <c r="R27" s="1">
        <f t="shared" si="8"/>
        <v>0</v>
      </c>
      <c r="S27" s="1">
        <f t="shared" si="3"/>
        <v>0</v>
      </c>
      <c r="T27" s="1">
        <f t="shared" si="4"/>
        <v>0</v>
      </c>
      <c r="U27" s="1">
        <f t="shared" si="5"/>
        <v>0</v>
      </c>
      <c r="V27">
        <v>8307.31</v>
      </c>
      <c r="W27">
        <v>8337.8200000000015</v>
      </c>
      <c r="X27">
        <v>8307.31</v>
      </c>
      <c r="Y27">
        <v>8337.8200000000015</v>
      </c>
      <c r="Z27">
        <v>8337.8200000000015</v>
      </c>
      <c r="AA27">
        <v>8337.8200000000015</v>
      </c>
      <c r="AB27">
        <v>8337.8200000000015</v>
      </c>
      <c r="AC27">
        <v>8337.8200000000015</v>
      </c>
      <c r="AD27">
        <v>8337.8200000000015</v>
      </c>
      <c r="AE27" s="6">
        <f>Tabla13[[#This Row],[Calculated HEFT_NC]]/Tabla13[[#This Row],[Real HEFT_NC]]</f>
        <v>0.99629655836578435</v>
      </c>
      <c r="AF27" s="6">
        <f>Tabla13[[#This Row],[Calculated HEFT_DNC]]/Tabla13[[#This Row],[Real HEFT_DNC]]</f>
        <v>0.9999556258612482</v>
      </c>
      <c r="AG27" s="6">
        <f>Tabla13[[#This Row],[Calculated GA_NC]]/Tabla13[[#This Row],[Real GA_NC]]</f>
        <v>0.99629655836578435</v>
      </c>
      <c r="AH27" s="6">
        <f>Tabla13[[#This Row],[Calculated GA_DNC]]/Tabla13[[#This Row],[Real GA_DNC]]</f>
        <v>0.9999556258612482</v>
      </c>
      <c r="AI27" s="6">
        <f>Tabla13[[#This Row],[Calculated HGA_(Ph2)]]/Tabla13[[#This Row],[Real HGA_(Ph2)]]</f>
        <v>0.9999556258612482</v>
      </c>
      <c r="AJ27" s="6">
        <f>Tabla13[[#This Row],[Calculated HGA_(Ph1)]]/Tabla13[[#This Row],[Real HGA_(Ph1)]]</f>
        <v>0.9999556258612482</v>
      </c>
      <c r="AK27" s="6">
        <f>Tabla13[[#This Row],[Calculated HGA^H]]/Tabla13[[#This Row],[Real GA^H]]</f>
        <v>0.9999556258612482</v>
      </c>
      <c r="AL27" s="6">
        <f>Tabla13[[#This Row],[Calculated HGA_(Ph2)^H]]/Tabla13[[#This Row],[Real HGA_(Ph2)^H]]</f>
        <v>0.9999556258612482</v>
      </c>
      <c r="AM27" s="6">
        <f>Tabla13[[#This Row],[Calculated HGA_(Ph1)^H]]/Tabla13[[#This Row],[Real HGA_(Ph1)^H]]</f>
        <v>0.9999556258612482</v>
      </c>
    </row>
    <row r="28" spans="1:39">
      <c r="A28" s="6" t="str">
        <f t="shared" si="0"/>
        <v>cycles</v>
      </c>
      <c r="B28" t="s">
        <v>7</v>
      </c>
      <c r="C28">
        <f>_xlfn.XLOOKUP(B28,Instances!$B$2:$B$29,Instances!$A$2:$A$29,,0,1)</f>
        <v>437</v>
      </c>
      <c r="D28">
        <v>2</v>
      </c>
      <c r="E28">
        <v>4169.42</v>
      </c>
      <c r="F28">
        <v>4169.17</v>
      </c>
      <c r="G28">
        <v>4170.2449999999999</v>
      </c>
      <c r="H28">
        <v>4169.4580000000014</v>
      </c>
      <c r="I28">
        <v>4169.128999999999</v>
      </c>
      <c r="J28">
        <v>4169.2169999999996</v>
      </c>
      <c r="K28">
        <v>4169.1200000000008</v>
      </c>
      <c r="L28">
        <v>4169.1240000000007</v>
      </c>
      <c r="M28">
        <v>4169.17</v>
      </c>
      <c r="N28" s="7">
        <f t="shared" si="1"/>
        <v>5.9960378182097267E-5</v>
      </c>
      <c r="O28" s="1">
        <f t="shared" si="6"/>
        <v>-1.9786924800087736E-4</v>
      </c>
      <c r="P28" s="1">
        <f t="shared" si="7"/>
        <v>-9.1139774840086037E-6</v>
      </c>
      <c r="Q28" s="1">
        <f t="shared" si="2"/>
        <v>6.9793880204219489E-5</v>
      </c>
      <c r="R28" s="1">
        <f t="shared" si="8"/>
        <v>4.8687827083965941E-5</v>
      </c>
      <c r="S28" s="1">
        <f t="shared" si="3"/>
        <v>7.1952453818342218E-5</v>
      </c>
      <c r="T28" s="1">
        <f t="shared" si="4"/>
        <v>7.099308776745135E-5</v>
      </c>
      <c r="U28" s="1">
        <f t="shared" si="5"/>
        <v>5.9960378182097267E-5</v>
      </c>
      <c r="V28">
        <v>4153.6900000000014</v>
      </c>
      <c r="W28">
        <v>4168.96</v>
      </c>
      <c r="X28">
        <v>4154.3639999999996</v>
      </c>
      <c r="Y28">
        <v>4169.2490000000007</v>
      </c>
      <c r="Z28">
        <v>4168.9100000000008</v>
      </c>
      <c r="AA28">
        <v>4169.0099999999993</v>
      </c>
      <c r="AB28">
        <v>4168.9100000000008</v>
      </c>
      <c r="AC28">
        <v>4168.9100000000008</v>
      </c>
      <c r="AD28">
        <v>4168.96</v>
      </c>
      <c r="AE28" s="6">
        <f>Tabla13[[#This Row],[Calculated HEFT_NC]]/Tabla13[[#This Row],[Real HEFT_NC]]</f>
        <v>0.99622729300478274</v>
      </c>
      <c r="AF28" s="6">
        <f>Tabla13[[#This Row],[Calculated HEFT_DNC]]/Tabla13[[#This Row],[Real HEFT_DNC]]</f>
        <v>0.99994963026213846</v>
      </c>
      <c r="AG28" s="6">
        <f>Tabla13[[#This Row],[Calculated GA_NC]]/Tabla13[[#This Row],[Real GA_NC]]</f>
        <v>0.99619183045600435</v>
      </c>
      <c r="AH28" s="6">
        <f>Tabla13[[#This Row],[Calculated GA_DNC]]/Tabla13[[#This Row],[Real GA_DNC]]</f>
        <v>0.99994987358069065</v>
      </c>
      <c r="AI28" s="6">
        <f>Tabla13[[#This Row],[Calculated HGA_(Ph2)]]/Tabla13[[#This Row],[Real HGA_(Ph2)]]</f>
        <v>0.99994747104251314</v>
      </c>
      <c r="AJ28" s="6">
        <f>Tabla13[[#This Row],[Calculated HGA_(Ph1)]]/Tabla13[[#This Row],[Real HGA_(Ph1)]]</f>
        <v>0.9999503503895335</v>
      </c>
      <c r="AK28" s="6">
        <f>Tabla13[[#This Row],[Calculated HGA^H]]/Tabla13[[#This Row],[Real GA^H]]</f>
        <v>0.99994962965805734</v>
      </c>
      <c r="AL28" s="6">
        <f>Tabla13[[#This Row],[Calculated HGA_(Ph2)^H]]/Tabla13[[#This Row],[Real HGA_(Ph2)^H]]</f>
        <v>0.99994867027222023</v>
      </c>
      <c r="AM28" s="6">
        <f>Tabla13[[#This Row],[Calculated HGA_(Ph1)^H]]/Tabla13[[#This Row],[Real HGA_(Ph1)^H]]</f>
        <v>0.99994963026213846</v>
      </c>
    </row>
    <row r="29" spans="1:39">
      <c r="A29" s="6" t="str">
        <f t="shared" si="0"/>
        <v>cycles</v>
      </c>
      <c r="B29" t="s">
        <v>7</v>
      </c>
      <c r="C29">
        <f>_xlfn.XLOOKUP(B29,Instances!$B$2:$B$29,Instances!$A$2:$A$29,,0,1)</f>
        <v>437</v>
      </c>
      <c r="D29">
        <v>4</v>
      </c>
      <c r="E29">
        <v>2084.92</v>
      </c>
      <c r="F29">
        <v>2084.9499999999998</v>
      </c>
      <c r="G29">
        <v>2146.9949999999999</v>
      </c>
      <c r="H29">
        <v>2150.9380000000001</v>
      </c>
      <c r="I29">
        <v>2131.154</v>
      </c>
      <c r="J29">
        <v>2113.2739999999999</v>
      </c>
      <c r="K29">
        <v>2084.645</v>
      </c>
      <c r="L29">
        <v>2084.616</v>
      </c>
      <c r="M29">
        <v>2084.9499999999998</v>
      </c>
      <c r="N29" s="7">
        <f t="shared" si="1"/>
        <v>-1.43890413060191E-5</v>
      </c>
      <c r="O29" s="1">
        <f t="shared" si="6"/>
        <v>-2.9773324635957166E-2</v>
      </c>
      <c r="P29" s="1">
        <f t="shared" si="7"/>
        <v>-3.166452429829443E-2</v>
      </c>
      <c r="Q29" s="1">
        <f t="shared" si="2"/>
        <v>-2.2175431191604436E-2</v>
      </c>
      <c r="R29" s="1">
        <f t="shared" si="8"/>
        <v>-1.3599562573144203E-2</v>
      </c>
      <c r="S29" s="1">
        <f t="shared" si="3"/>
        <v>1.3189954530633835E-4</v>
      </c>
      <c r="T29" s="1">
        <f t="shared" si="4"/>
        <v>1.4580895190227313E-4</v>
      </c>
      <c r="U29" s="1">
        <f t="shared" si="5"/>
        <v>-1.43890413060191E-5</v>
      </c>
      <c r="V29">
        <v>2076.91</v>
      </c>
      <c r="W29">
        <v>2084.84</v>
      </c>
      <c r="X29">
        <v>2139.420000000001</v>
      </c>
      <c r="Y29">
        <v>2150.828</v>
      </c>
      <c r="Z29">
        <v>2131.0430000000001</v>
      </c>
      <c r="AA29">
        <v>2113.1559999999999</v>
      </c>
      <c r="AB29">
        <v>2084.5300000000002</v>
      </c>
      <c r="AC29">
        <v>2084.5</v>
      </c>
      <c r="AD29">
        <v>2084.84</v>
      </c>
      <c r="AE29" s="6">
        <f>Tabla13[[#This Row],[Calculated HEFT_NC]]/Tabla13[[#This Row],[Real HEFT_NC]]</f>
        <v>0.99615812597126019</v>
      </c>
      <c r="AF29" s="6">
        <f>Tabla13[[#This Row],[Calculated HEFT_DNC]]/Tabla13[[#This Row],[Real HEFT_DNC]]</f>
        <v>0.99994724094102994</v>
      </c>
      <c r="AG29" s="6">
        <f>Tabla13[[#This Row],[Calculated GA_NC]]/Tabla13[[#This Row],[Real GA_NC]]</f>
        <v>0.99647181292923415</v>
      </c>
      <c r="AH29" s="6">
        <f>Tabla13[[#This Row],[Calculated GA_DNC]]/Tabla13[[#This Row],[Real GA_DNC]]</f>
        <v>0.99994885952082291</v>
      </c>
      <c r="AI29" s="6">
        <f>Tabla13[[#This Row],[Calculated HGA_(Ph2)]]/Tabla13[[#This Row],[Real HGA_(Ph2)]]</f>
        <v>0.99994791554247142</v>
      </c>
      <c r="AJ29" s="6">
        <f>Tabla13[[#This Row],[Calculated HGA_(Ph1)]]/Tabla13[[#This Row],[Real HGA_(Ph1)]]</f>
        <v>0.99994416247017659</v>
      </c>
      <c r="AK29" s="6">
        <f>Tabla13[[#This Row],[Calculated HGA^H]]/Tabla13[[#This Row],[Real GA^H]]</f>
        <v>0.99994483473205276</v>
      </c>
      <c r="AL29" s="6">
        <f>Tabla13[[#This Row],[Calculated HGA_(Ph2)^H]]/Tabla13[[#This Row],[Real HGA_(Ph2)^H]]</f>
        <v>0.99994435425996919</v>
      </c>
      <c r="AM29" s="6">
        <f>Tabla13[[#This Row],[Calculated HGA_(Ph1)^H]]/Tabla13[[#This Row],[Real HGA_(Ph1)^H]]</f>
        <v>0.99994724094102994</v>
      </c>
    </row>
    <row r="30" spans="1:39">
      <c r="A30" s="6" t="str">
        <f t="shared" si="0"/>
        <v>cycles</v>
      </c>
      <c r="B30" t="s">
        <v>7</v>
      </c>
      <c r="C30">
        <f>_xlfn.XLOOKUP(B30,Instances!$B$2:$B$29,Instances!$A$2:$A$29,,0,1)</f>
        <v>437</v>
      </c>
      <c r="D30">
        <v>8</v>
      </c>
      <c r="E30">
        <v>1042.9000000000001</v>
      </c>
      <c r="F30">
        <v>1042.72</v>
      </c>
      <c r="G30">
        <v>1163.8340000000001</v>
      </c>
      <c r="H30">
        <v>1158.027</v>
      </c>
      <c r="I30">
        <v>1150.905</v>
      </c>
      <c r="J30">
        <v>1122.981</v>
      </c>
      <c r="K30">
        <v>1042.566</v>
      </c>
      <c r="L30">
        <v>1042.356</v>
      </c>
      <c r="M30">
        <v>1042.72</v>
      </c>
      <c r="N30" s="7">
        <f t="shared" si="1"/>
        <v>1.72595646754304E-4</v>
      </c>
      <c r="O30" s="1">
        <f t="shared" si="6"/>
        <v>-0.1159593441365423</v>
      </c>
      <c r="P30" s="1">
        <f t="shared" si="7"/>
        <v>-0.11039121679930956</v>
      </c>
      <c r="Q30" s="1">
        <f t="shared" si="2"/>
        <v>-0.10356218237606661</v>
      </c>
      <c r="R30" s="1">
        <f t="shared" si="8"/>
        <v>-7.6786844376258406E-2</v>
      </c>
      <c r="S30" s="1">
        <f t="shared" si="3"/>
        <v>3.202608111995973E-4</v>
      </c>
      <c r="T30" s="1">
        <f t="shared" si="4"/>
        <v>5.2162239907958233E-4</v>
      </c>
      <c r="U30" s="1">
        <f t="shared" si="5"/>
        <v>1.72595646754304E-4</v>
      </c>
      <c r="V30">
        <v>1038.79</v>
      </c>
      <c r="W30">
        <v>1042.67</v>
      </c>
      <c r="X30">
        <v>1159.607</v>
      </c>
      <c r="Y30">
        <v>1157.9659999999999</v>
      </c>
      <c r="Z30">
        <v>1150.846</v>
      </c>
      <c r="AA30">
        <v>1122.913</v>
      </c>
      <c r="AB30">
        <v>1042.5070000000001</v>
      </c>
      <c r="AC30">
        <v>1042.29</v>
      </c>
      <c r="AD30">
        <v>1042.67</v>
      </c>
      <c r="AE30" s="6">
        <f>Tabla13[[#This Row],[Calculated HEFT_NC]]/Tabla13[[#This Row],[Real HEFT_NC]]</f>
        <v>0.99605906606577799</v>
      </c>
      <c r="AF30" s="6">
        <f>Tabla13[[#This Row],[Calculated HEFT_DNC]]/Tabla13[[#This Row],[Real HEFT_DNC]]</f>
        <v>0.99995204848856845</v>
      </c>
      <c r="AG30" s="6">
        <f>Tabla13[[#This Row],[Calculated GA_NC]]/Tabla13[[#This Row],[Real GA_NC]]</f>
        <v>0.99636803874092006</v>
      </c>
      <c r="AH30" s="6">
        <f>Tabla13[[#This Row],[Calculated GA_DNC]]/Tabla13[[#This Row],[Real GA_DNC]]</f>
        <v>0.99994732419883114</v>
      </c>
      <c r="AI30" s="6">
        <f>Tabla13[[#This Row],[Calculated HGA_(Ph2)]]/Tabla13[[#This Row],[Real HGA_(Ph2)]]</f>
        <v>0.99994873599471723</v>
      </c>
      <c r="AJ30" s="6">
        <f>Tabla13[[#This Row],[Calculated HGA_(Ph1)]]/Tabla13[[#This Row],[Real HGA_(Ph1)]]</f>
        <v>0.99993944688289471</v>
      </c>
      <c r="AK30" s="6">
        <f>Tabla13[[#This Row],[Calculated HGA^H]]/Tabla13[[#This Row],[Real GA^H]]</f>
        <v>0.99994340885852795</v>
      </c>
      <c r="AL30" s="6">
        <f>Tabla13[[#This Row],[Calculated HGA_(Ph2)^H]]/Tabla13[[#This Row],[Real HGA_(Ph2)^H]]</f>
        <v>0.99993668190138496</v>
      </c>
      <c r="AM30" s="6">
        <f>Tabla13[[#This Row],[Calculated HGA_(Ph1)^H]]/Tabla13[[#This Row],[Real HGA_(Ph1)^H]]</f>
        <v>0.99995204848856845</v>
      </c>
    </row>
    <row r="31" spans="1:39">
      <c r="A31" s="6" t="str">
        <f t="shared" si="0"/>
        <v>cycles</v>
      </c>
      <c r="B31" t="s">
        <v>7</v>
      </c>
      <c r="C31">
        <f>_xlfn.XLOOKUP(B31,Instances!$B$2:$B$29,Instances!$A$2:$A$29,,0,1)</f>
        <v>437</v>
      </c>
      <c r="D31">
        <v>16</v>
      </c>
      <c r="E31">
        <v>546.971</v>
      </c>
      <c r="F31">
        <v>546.971</v>
      </c>
      <c r="G31">
        <v>667.21879999999987</v>
      </c>
      <c r="H31">
        <v>672.72009999999989</v>
      </c>
      <c r="I31">
        <v>645.86120000000005</v>
      </c>
      <c r="J31">
        <v>630.50120000000004</v>
      </c>
      <c r="K31">
        <v>546.80240000000003</v>
      </c>
      <c r="L31">
        <v>545.54589999999996</v>
      </c>
      <c r="M31">
        <v>546.97099999999989</v>
      </c>
      <c r="N31" s="7">
        <f t="shared" si="1"/>
        <v>0</v>
      </c>
      <c r="O31" s="1">
        <f t="shared" si="6"/>
        <v>-0.2198430995427543</v>
      </c>
      <c r="P31" s="1">
        <f t="shared" si="7"/>
        <v>-0.22990085397580473</v>
      </c>
      <c r="Q31" s="1">
        <f t="shared" si="2"/>
        <v>-0.18079605682933839</v>
      </c>
      <c r="R31" s="1">
        <f t="shared" si="8"/>
        <v>-0.15271412926827937</v>
      </c>
      <c r="S31" s="1">
        <f t="shared" si="3"/>
        <v>3.0824303299438076E-4</v>
      </c>
      <c r="T31" s="1">
        <f t="shared" si="4"/>
        <v>2.6054397765147386E-3</v>
      </c>
      <c r="U31" s="1">
        <f t="shared" si="5"/>
        <v>2.0784801702762309E-16</v>
      </c>
      <c r="V31">
        <v>545.67200000000014</v>
      </c>
      <c r="W31">
        <v>546.947</v>
      </c>
      <c r="X31">
        <v>665.4239</v>
      </c>
      <c r="Y31">
        <v>672.68749999999989</v>
      </c>
      <c r="Z31">
        <v>645.82670000000007</v>
      </c>
      <c r="AA31">
        <v>630.45659999999998</v>
      </c>
      <c r="AB31">
        <v>546.77610000000004</v>
      </c>
      <c r="AC31">
        <v>545.52029999999991</v>
      </c>
      <c r="AD31">
        <v>546.947</v>
      </c>
      <c r="AE31" s="6">
        <f>Tabla13[[#This Row],[Calculated HEFT_NC]]/Tabla13[[#This Row],[Real HEFT_NC]]</f>
        <v>0.99762510261055914</v>
      </c>
      <c r="AF31" s="6">
        <f>Tabla13[[#This Row],[Calculated HEFT_DNC]]/Tabla13[[#This Row],[Real HEFT_DNC]]</f>
        <v>0.99995612198818584</v>
      </c>
      <c r="AG31" s="6">
        <f>Tabla13[[#This Row],[Calculated GA_NC]]/Tabla13[[#This Row],[Real GA_NC]]</f>
        <v>0.99730987795907444</v>
      </c>
      <c r="AH31" s="6">
        <f>Tabla13[[#This Row],[Calculated GA_DNC]]/Tabla13[[#This Row],[Real GA_DNC]]</f>
        <v>0.99995154002385245</v>
      </c>
      <c r="AI31" s="6">
        <f>Tabla13[[#This Row],[Calculated HGA_(Ph2)]]/Tabla13[[#This Row],[Real HGA_(Ph2)]]</f>
        <v>0.99994658295002092</v>
      </c>
      <c r="AJ31" s="6">
        <f>Tabla13[[#This Row],[Calculated HGA_(Ph1)]]/Tabla13[[#This Row],[Real HGA_(Ph1)]]</f>
        <v>0.99992926262471815</v>
      </c>
      <c r="AK31" s="6">
        <f>Tabla13[[#This Row],[Calculated HGA^H]]/Tabla13[[#This Row],[Real GA^H]]</f>
        <v>0.99995190218623764</v>
      </c>
      <c r="AL31" s="6">
        <f>Tabla13[[#This Row],[Calculated HGA_(Ph2)^H]]/Tabla13[[#This Row],[Real HGA_(Ph2)^H]]</f>
        <v>0.99995307452590143</v>
      </c>
      <c r="AM31" s="6">
        <f>Tabla13[[#This Row],[Calculated HGA_(Ph1)^H]]/Tabla13[[#This Row],[Real HGA_(Ph1)^H]]</f>
        <v>0.99995612198818606</v>
      </c>
    </row>
    <row r="32" spans="1:39">
      <c r="A32" s="6" t="str">
        <f t="shared" si="0"/>
        <v>cycles</v>
      </c>
      <c r="B32" t="s">
        <v>8</v>
      </c>
      <c r="C32">
        <f>_xlfn.XLOOKUP(B32,Instances!$B$2:$B$29,Instances!$A$2:$A$29,,0,1)</f>
        <v>133</v>
      </c>
      <c r="D32">
        <v>1</v>
      </c>
      <c r="E32">
        <v>3675.9100000000012</v>
      </c>
      <c r="F32">
        <v>3675.9100000000012</v>
      </c>
      <c r="G32">
        <v>3675.9100000000012</v>
      </c>
      <c r="H32">
        <v>3675.9100000000012</v>
      </c>
      <c r="I32">
        <v>3675.9100000000012</v>
      </c>
      <c r="J32">
        <v>3675.9100000000012</v>
      </c>
      <c r="K32">
        <v>3675.9100000000012</v>
      </c>
      <c r="L32">
        <v>3675.9100000000012</v>
      </c>
      <c r="M32">
        <v>3675.9100000000012</v>
      </c>
      <c r="N32" s="7">
        <f t="shared" si="1"/>
        <v>0</v>
      </c>
      <c r="O32" s="1">
        <f t="shared" si="6"/>
        <v>0</v>
      </c>
      <c r="P32" s="1">
        <f t="shared" si="7"/>
        <v>0</v>
      </c>
      <c r="Q32" s="1">
        <f t="shared" si="2"/>
        <v>0</v>
      </c>
      <c r="R32" s="1">
        <f t="shared" si="8"/>
        <v>0</v>
      </c>
      <c r="S32" s="1">
        <f t="shared" si="3"/>
        <v>0</v>
      </c>
      <c r="T32" s="1">
        <f t="shared" si="4"/>
        <v>0</v>
      </c>
      <c r="U32" s="1">
        <f t="shared" si="5"/>
        <v>0</v>
      </c>
      <c r="V32">
        <v>3666.6799999999989</v>
      </c>
      <c r="W32">
        <v>3675.8000000000011</v>
      </c>
      <c r="X32">
        <v>3666.6799999999989</v>
      </c>
      <c r="Y32">
        <v>3675.8000000000011</v>
      </c>
      <c r="Z32">
        <v>3675.8000000000011</v>
      </c>
      <c r="AA32">
        <v>3675.8000000000011</v>
      </c>
      <c r="AB32">
        <v>3675.8000000000011</v>
      </c>
      <c r="AC32">
        <v>3675.8000000000011</v>
      </c>
      <c r="AD32">
        <v>3675.8000000000011</v>
      </c>
      <c r="AE32" s="6">
        <f>Tabla13[[#This Row],[Calculated HEFT_NC]]/Tabla13[[#This Row],[Real HEFT_NC]]</f>
        <v>0.99748905713143077</v>
      </c>
      <c r="AF32" s="6">
        <f>Tabla13[[#This Row],[Calculated HEFT_DNC]]/Tabla13[[#This Row],[Real HEFT_DNC]]</f>
        <v>0.99997007543710259</v>
      </c>
      <c r="AG32" s="6">
        <f>Tabla13[[#This Row],[Calculated GA_NC]]/Tabla13[[#This Row],[Real GA_NC]]</f>
        <v>0.99748905713143077</v>
      </c>
      <c r="AH32" s="6">
        <f>Tabla13[[#This Row],[Calculated GA_DNC]]/Tabla13[[#This Row],[Real GA_DNC]]</f>
        <v>0.99997007543710259</v>
      </c>
      <c r="AI32" s="6">
        <f>Tabla13[[#This Row],[Calculated HGA_(Ph2)]]/Tabla13[[#This Row],[Real HGA_(Ph2)]]</f>
        <v>0.99997007543710259</v>
      </c>
      <c r="AJ32" s="6">
        <f>Tabla13[[#This Row],[Calculated HGA_(Ph1)]]/Tabla13[[#This Row],[Real HGA_(Ph1)]]</f>
        <v>0.99997007543710259</v>
      </c>
      <c r="AK32" s="6">
        <f>Tabla13[[#This Row],[Calculated HGA^H]]/Tabla13[[#This Row],[Real GA^H]]</f>
        <v>0.99997007543710259</v>
      </c>
      <c r="AL32" s="6">
        <f>Tabla13[[#This Row],[Calculated HGA_(Ph2)^H]]/Tabla13[[#This Row],[Real HGA_(Ph2)^H]]</f>
        <v>0.99997007543710259</v>
      </c>
      <c r="AM32" s="6">
        <f>Tabla13[[#This Row],[Calculated HGA_(Ph1)^H]]/Tabla13[[#This Row],[Real HGA_(Ph1)^H]]</f>
        <v>0.99997007543710259</v>
      </c>
    </row>
    <row r="33" spans="1:39">
      <c r="A33" s="6" t="str">
        <f t="shared" si="0"/>
        <v>cycles</v>
      </c>
      <c r="B33" t="s">
        <v>8</v>
      </c>
      <c r="C33">
        <f>_xlfn.XLOOKUP(B33,Instances!$B$2:$B$29,Instances!$A$2:$A$29,,0,1)</f>
        <v>133</v>
      </c>
      <c r="D33">
        <v>2</v>
      </c>
      <c r="E33">
        <v>1842.04</v>
      </c>
      <c r="F33">
        <v>1842.04</v>
      </c>
      <c r="G33">
        <v>1838.075</v>
      </c>
      <c r="H33">
        <v>1837.962</v>
      </c>
      <c r="I33">
        <v>1837.962</v>
      </c>
      <c r="J33">
        <v>1838.3610000000001</v>
      </c>
      <c r="K33">
        <v>1837.963</v>
      </c>
      <c r="L33">
        <v>1837.963</v>
      </c>
      <c r="M33">
        <v>1838.3330000000001</v>
      </c>
      <c r="N33" s="7">
        <f t="shared" si="1"/>
        <v>0</v>
      </c>
      <c r="O33" s="1">
        <f t="shared" si="6"/>
        <v>2.1525048315997036E-3</v>
      </c>
      <c r="P33" s="1">
        <f t="shared" si="7"/>
        <v>2.2138498621093869E-3</v>
      </c>
      <c r="Q33" s="1">
        <f t="shared" si="2"/>
        <v>2.2138498621093869E-3</v>
      </c>
      <c r="R33" s="1">
        <f t="shared" si="8"/>
        <v>1.9972421880088704E-3</v>
      </c>
      <c r="S33" s="1">
        <f t="shared" si="3"/>
        <v>2.2133069857332077E-3</v>
      </c>
      <c r="T33" s="1">
        <f t="shared" si="4"/>
        <v>2.2133069857332077E-3</v>
      </c>
      <c r="U33" s="1">
        <f t="shared" si="5"/>
        <v>2.0124427265422466E-3</v>
      </c>
      <c r="V33">
        <v>1837.49</v>
      </c>
      <c r="W33">
        <v>1841.98</v>
      </c>
      <c r="X33">
        <v>1833.34</v>
      </c>
      <c r="Y33">
        <v>1837.9</v>
      </c>
      <c r="Z33">
        <v>1837.9</v>
      </c>
      <c r="AA33">
        <v>1838.299</v>
      </c>
      <c r="AB33">
        <v>1837.902</v>
      </c>
      <c r="AC33">
        <v>1837.9</v>
      </c>
      <c r="AD33">
        <v>1838.271</v>
      </c>
      <c r="AE33" s="6">
        <f>Tabla13[[#This Row],[Calculated HEFT_NC]]/Tabla13[[#This Row],[Real HEFT_NC]]</f>
        <v>0.99752991248832823</v>
      </c>
      <c r="AF33" s="6">
        <f>Tabla13[[#This Row],[Calculated HEFT_DNC]]/Tabla13[[#This Row],[Real HEFT_DNC]]</f>
        <v>0.9999674274174285</v>
      </c>
      <c r="AG33" s="6">
        <f>Tabla13[[#This Row],[Calculated GA_NC]]/Tabla13[[#This Row],[Real GA_NC]]</f>
        <v>0.99742393536716389</v>
      </c>
      <c r="AH33" s="6">
        <f>Tabla13[[#This Row],[Calculated GA_DNC]]/Tabla13[[#This Row],[Real GA_DNC]]</f>
        <v>0.99996626698484525</v>
      </c>
      <c r="AI33" s="6">
        <f>Tabla13[[#This Row],[Calculated HGA_(Ph2)]]/Tabla13[[#This Row],[Real HGA_(Ph2)]]</f>
        <v>0.99996626698484525</v>
      </c>
      <c r="AJ33" s="6">
        <f>Tabla13[[#This Row],[Calculated HGA_(Ph1)]]/Tabla13[[#This Row],[Real HGA_(Ph1)]]</f>
        <v>0.99996627430629781</v>
      </c>
      <c r="AK33" s="6">
        <f>Tabla13[[#This Row],[Calculated HGA^H]]/Tabla13[[#This Row],[Real GA^H]]</f>
        <v>0.99996681108379226</v>
      </c>
      <c r="AL33" s="6">
        <f>Tabla13[[#This Row],[Calculated HGA_(Ph2)^H]]/Tabla13[[#This Row],[Real HGA_(Ph2)^H]]</f>
        <v>0.9999657229226051</v>
      </c>
      <c r="AM33" s="6">
        <f>Tabla13[[#This Row],[Calculated HGA_(Ph1)^H]]/Tabla13[[#This Row],[Real HGA_(Ph1)^H]]</f>
        <v>0.99996627379261527</v>
      </c>
    </row>
    <row r="34" spans="1:39">
      <c r="A34" s="6" t="str">
        <f t="shared" ref="A34:A65" si="9">LEFT(B34,FIND("-",B34)-1)</f>
        <v>cycles</v>
      </c>
      <c r="B34" t="s">
        <v>8</v>
      </c>
      <c r="C34">
        <f>_xlfn.XLOOKUP(B34,Instances!$B$2:$B$29,Instances!$A$2:$A$29,,0,1)</f>
        <v>133</v>
      </c>
      <c r="D34">
        <v>4</v>
      </c>
      <c r="E34">
        <v>920.17300000000012</v>
      </c>
      <c r="F34">
        <v>920.30700000000013</v>
      </c>
      <c r="G34">
        <v>925.94929999999999</v>
      </c>
      <c r="H34">
        <v>926.00729999999999</v>
      </c>
      <c r="I34">
        <v>920.47429999999986</v>
      </c>
      <c r="J34">
        <v>936.59100000000012</v>
      </c>
      <c r="K34">
        <v>919.76719999999989</v>
      </c>
      <c r="L34">
        <v>919.01700000000005</v>
      </c>
      <c r="M34">
        <v>920.30700000000013</v>
      </c>
      <c r="N34" s="7">
        <f t="shared" ref="N34:N65" si="10">(($E34-F34)/$E34)</f>
        <v>-1.456247901210039E-4</v>
      </c>
      <c r="O34" s="1">
        <f t="shared" ref="O34:O65" si="11">(($E34-G34)/$E34)</f>
        <v>-6.2774065311630286E-3</v>
      </c>
      <c r="P34" s="1">
        <f t="shared" ref="P34:P65" si="12">(($E34-H34)/$E34)</f>
        <v>-6.3404381567377767E-3</v>
      </c>
      <c r="Q34" s="1">
        <f t="shared" ref="Q34:Q65" si="13">(($E34-I34)/$E34)</f>
        <v>-3.2743842733892634E-4</v>
      </c>
      <c r="R34" s="1">
        <f t="shared" ref="R34:R65" si="14">(($E34-J34)/$E34)</f>
        <v>-1.7842297046316295E-2</v>
      </c>
      <c r="S34" s="1">
        <f t="shared" ref="S34:S65" si="15">(($E34-K34)/$E34)</f>
        <v>4.410040285905222E-4</v>
      </c>
      <c r="T34" s="1">
        <f t="shared" ref="T34:T65" si="16">(($E34-L34)/$E34)</f>
        <v>1.256285502834861E-3</v>
      </c>
      <c r="U34" s="1">
        <f t="shared" ref="U34:U65" si="17">(($E34-M34)/$E34)</f>
        <v>-1.456247901210039E-4</v>
      </c>
      <c r="V34">
        <v>917.81600000000014</v>
      </c>
      <c r="W34">
        <v>920.26900000000001</v>
      </c>
      <c r="X34">
        <v>923.62389999999994</v>
      </c>
      <c r="Y34">
        <v>925.97500000000014</v>
      </c>
      <c r="Z34">
        <v>920.44089999999994</v>
      </c>
      <c r="AA34">
        <v>936.55520000000013</v>
      </c>
      <c r="AB34">
        <v>919.73329999999987</v>
      </c>
      <c r="AC34">
        <v>918.98149999999987</v>
      </c>
      <c r="AD34">
        <v>920.26900000000001</v>
      </c>
      <c r="AE34" s="6">
        <f>Tabla13[[#This Row],[Calculated HEFT_NC]]/Tabla13[[#This Row],[Real HEFT_NC]]</f>
        <v>0.99743852514690179</v>
      </c>
      <c r="AF34" s="6">
        <f>Tabla13[[#This Row],[Calculated HEFT_DNC]]/Tabla13[[#This Row],[Real HEFT_DNC]]</f>
        <v>0.99995870943065723</v>
      </c>
      <c r="AG34" s="6">
        <f>Tabla13[[#This Row],[Calculated GA_NC]]/Tabla13[[#This Row],[Real GA_NC]]</f>
        <v>0.99748863139698896</v>
      </c>
      <c r="AH34" s="6">
        <f>Tabla13[[#This Row],[Calculated GA_DNC]]/Tabla13[[#This Row],[Real GA_DNC]]</f>
        <v>0.99996511906547625</v>
      </c>
      <c r="AI34" s="6">
        <f>Tabla13[[#This Row],[Calculated HGA_(Ph2)]]/Tabla13[[#This Row],[Real HGA_(Ph2)]]</f>
        <v>0.99996371435899956</v>
      </c>
      <c r="AJ34" s="6">
        <f>Tabla13[[#This Row],[Calculated HGA_(Ph1)]]/Tabla13[[#This Row],[Real HGA_(Ph1)]]</f>
        <v>0.99996177627160632</v>
      </c>
      <c r="AK34" s="6">
        <f>Tabla13[[#This Row],[Calculated HGA^H]]/Tabla13[[#This Row],[Real GA^H]]</f>
        <v>0.99996314284745091</v>
      </c>
      <c r="AL34" s="6">
        <f>Tabla13[[#This Row],[Calculated HGA_(Ph2)^H]]/Tabla13[[#This Row],[Real HGA_(Ph2)^H]]</f>
        <v>0.99996137177005406</v>
      </c>
      <c r="AM34" s="6">
        <f>Tabla13[[#This Row],[Calculated HGA_(Ph1)^H]]/Tabla13[[#This Row],[Real HGA_(Ph1)^H]]</f>
        <v>0.99995870943065723</v>
      </c>
    </row>
    <row r="35" spans="1:39">
      <c r="A35" s="6" t="str">
        <f t="shared" si="9"/>
        <v>cycles</v>
      </c>
      <c r="B35" t="s">
        <v>8</v>
      </c>
      <c r="C35">
        <f>_xlfn.XLOOKUP(B35,Instances!$B$2:$B$29,Instances!$A$2:$A$29,,0,1)</f>
        <v>133</v>
      </c>
      <c r="D35">
        <v>8</v>
      </c>
      <c r="E35">
        <v>477.82799999999992</v>
      </c>
      <c r="F35">
        <v>477.82799999999992</v>
      </c>
      <c r="G35">
        <v>492.21789999999999</v>
      </c>
      <c r="H35">
        <v>500.17729999999989</v>
      </c>
      <c r="I35">
        <v>484.78140000000002</v>
      </c>
      <c r="J35">
        <v>493.38909999999998</v>
      </c>
      <c r="K35">
        <v>467.35180000000003</v>
      </c>
      <c r="L35">
        <v>459.57310000000001</v>
      </c>
      <c r="M35">
        <v>477.82799999999992</v>
      </c>
      <c r="N35" s="7">
        <f t="shared" si="10"/>
        <v>0</v>
      </c>
      <c r="O35" s="1">
        <f t="shared" si="11"/>
        <v>-3.0115229747942923E-2</v>
      </c>
      <c r="P35" s="1">
        <f t="shared" si="12"/>
        <v>-4.6772688080229656E-2</v>
      </c>
      <c r="Q35" s="1">
        <f t="shared" si="13"/>
        <v>-1.4552098244556834E-2</v>
      </c>
      <c r="R35" s="1">
        <f t="shared" si="14"/>
        <v>-3.2566320935566918E-2</v>
      </c>
      <c r="S35" s="1">
        <f t="shared" si="15"/>
        <v>2.1924625597495112E-2</v>
      </c>
      <c r="T35" s="1">
        <f t="shared" si="16"/>
        <v>3.8203914379232505E-2</v>
      </c>
      <c r="U35" s="1">
        <f t="shared" si="17"/>
        <v>0</v>
      </c>
      <c r="V35">
        <v>476.67899999999997</v>
      </c>
      <c r="W35">
        <v>477.81099999999998</v>
      </c>
      <c r="X35">
        <v>491.24160000000001</v>
      </c>
      <c r="Y35">
        <v>500.16169999999988</v>
      </c>
      <c r="Z35">
        <v>484.76540000000011</v>
      </c>
      <c r="AA35">
        <v>493.37060000000002</v>
      </c>
      <c r="AB35">
        <v>467.33569999999997</v>
      </c>
      <c r="AC35">
        <v>459.55430000000013</v>
      </c>
      <c r="AD35">
        <v>477.81099999999998</v>
      </c>
      <c r="AE35" s="6">
        <f>Tabla13[[#This Row],[Calculated HEFT_NC]]/Tabla13[[#This Row],[Real HEFT_NC]]</f>
        <v>0.9975953690449284</v>
      </c>
      <c r="AF35" s="6">
        <f>Tabla13[[#This Row],[Calculated HEFT_DNC]]/Tabla13[[#This Row],[Real HEFT_DNC]]</f>
        <v>0.99996442234444205</v>
      </c>
      <c r="AG35" s="6">
        <f>Tabla13[[#This Row],[Calculated GA_NC]]/Tabla13[[#This Row],[Real GA_NC]]</f>
        <v>0.99801652885845882</v>
      </c>
      <c r="AH35" s="6">
        <f>Tabla13[[#This Row],[Calculated GA_DNC]]/Tabla13[[#This Row],[Real GA_DNC]]</f>
        <v>0.99996881105959823</v>
      </c>
      <c r="AI35" s="6">
        <f>Tabla13[[#This Row],[Calculated HGA_(Ph2)]]/Tabla13[[#This Row],[Real HGA_(Ph2)]]</f>
        <v>0.99996699543340584</v>
      </c>
      <c r="AJ35" s="6">
        <f>Tabla13[[#This Row],[Calculated HGA_(Ph1)]]/Tabla13[[#This Row],[Real HGA_(Ph1)]]</f>
        <v>0.99996250423854127</v>
      </c>
      <c r="AK35" s="6">
        <f>Tabla13[[#This Row],[Calculated HGA^H]]/Tabla13[[#This Row],[Real GA^H]]</f>
        <v>0.99996555057667469</v>
      </c>
      <c r="AL35" s="6">
        <f>Tabla13[[#This Row],[Calculated HGA_(Ph2)^H]]/Tabla13[[#This Row],[Real HGA_(Ph2)^H]]</f>
        <v>0.99995909247081716</v>
      </c>
      <c r="AM35" s="6">
        <f>Tabla13[[#This Row],[Calculated HGA_(Ph1)^H]]/Tabla13[[#This Row],[Real HGA_(Ph1)^H]]</f>
        <v>0.99996442234444205</v>
      </c>
    </row>
    <row r="36" spans="1:39">
      <c r="A36" s="6" t="str">
        <f t="shared" si="9"/>
        <v>cycles</v>
      </c>
      <c r="B36" t="s">
        <v>8</v>
      </c>
      <c r="C36">
        <f>_xlfn.XLOOKUP(B36,Instances!$B$2:$B$29,Instances!$A$2:$A$29,,0,1)</f>
        <v>133</v>
      </c>
      <c r="D36">
        <v>16</v>
      </c>
      <c r="E36">
        <v>270.66600000000011</v>
      </c>
      <c r="F36">
        <v>270.66600000000011</v>
      </c>
      <c r="G36">
        <v>306.25839999999988</v>
      </c>
      <c r="H36">
        <v>312.9418</v>
      </c>
      <c r="I36">
        <v>290.12819999999999</v>
      </c>
      <c r="J36">
        <v>293.08890000000002</v>
      </c>
      <c r="K36">
        <v>270.66629999999998</v>
      </c>
      <c r="L36">
        <v>264.0675</v>
      </c>
      <c r="M36">
        <v>270.66600000000011</v>
      </c>
      <c r="N36" s="7">
        <f t="shared" si="10"/>
        <v>0</v>
      </c>
      <c r="O36" s="1">
        <f t="shared" si="11"/>
        <v>-0.13149933866832095</v>
      </c>
      <c r="P36" s="1">
        <f t="shared" si="12"/>
        <v>-0.15619176401912274</v>
      </c>
      <c r="Q36" s="1">
        <f t="shared" si="13"/>
        <v>-7.1904856908514087E-2</v>
      </c>
      <c r="R36" s="1">
        <f t="shared" si="14"/>
        <v>-8.2843430648843613E-2</v>
      </c>
      <c r="S36" s="1">
        <f t="shared" si="15"/>
        <v>-1.1083771137411063E-6</v>
      </c>
      <c r="T36" s="1">
        <f t="shared" si="16"/>
        <v>2.4378754627474866E-2</v>
      </c>
      <c r="U36" s="1">
        <f t="shared" si="17"/>
        <v>0</v>
      </c>
      <c r="V36">
        <v>270.24900000000002</v>
      </c>
      <c r="W36">
        <v>270.65899999999999</v>
      </c>
      <c r="X36">
        <v>305.75810000000001</v>
      </c>
      <c r="Y36">
        <v>312.9316</v>
      </c>
      <c r="Z36">
        <v>290.11980000000011</v>
      </c>
      <c r="AA36">
        <v>293.07729999999998</v>
      </c>
      <c r="AB36">
        <v>270.65899999999999</v>
      </c>
      <c r="AC36">
        <v>264.05930000000001</v>
      </c>
      <c r="AD36">
        <v>270.65899999999999</v>
      </c>
      <c r="AE36" s="6">
        <f>Tabla13[[#This Row],[Calculated HEFT_NC]]/Tabla13[[#This Row],[Real HEFT_NC]]</f>
        <v>0.99845935581122092</v>
      </c>
      <c r="AF36" s="6">
        <f>Tabla13[[#This Row],[Calculated HEFT_DNC]]/Tabla13[[#This Row],[Real HEFT_DNC]]</f>
        <v>0.99997413786733425</v>
      </c>
      <c r="AG36" s="6">
        <f>Tabla13[[#This Row],[Calculated GA_NC]]/Tabla13[[#This Row],[Real GA_NC]]</f>
        <v>0.99836641215392008</v>
      </c>
      <c r="AH36" s="6">
        <f>Tabla13[[#This Row],[Calculated GA_DNC]]/Tabla13[[#This Row],[Real GA_DNC]]</f>
        <v>0.99996740607998036</v>
      </c>
      <c r="AI36" s="6">
        <f>Tabla13[[#This Row],[Calculated HGA_(Ph2)]]/Tabla13[[#This Row],[Real HGA_(Ph2)]]</f>
        <v>0.99997104728185715</v>
      </c>
      <c r="AJ36" s="6">
        <f>Tabla13[[#This Row],[Calculated HGA_(Ph1)]]/Tabla13[[#This Row],[Real HGA_(Ph1)]]</f>
        <v>0.99996042156492437</v>
      </c>
      <c r="AK36" s="6">
        <f>Tabla13[[#This Row],[Calculated HGA^H]]/Tabla13[[#This Row],[Real GA^H]]</f>
        <v>0.99997302952011391</v>
      </c>
      <c r="AL36" s="6">
        <f>Tabla13[[#This Row],[Calculated HGA_(Ph2)^H]]/Tabla13[[#This Row],[Real HGA_(Ph2)^H]]</f>
        <v>0.99996894733354169</v>
      </c>
      <c r="AM36" s="6">
        <f>Tabla13[[#This Row],[Calculated HGA_(Ph1)^H]]/Tabla13[[#This Row],[Real HGA_(Ph1)^H]]</f>
        <v>0.99997413786733425</v>
      </c>
    </row>
    <row r="37" spans="1:39">
      <c r="A37" s="6" t="str">
        <f t="shared" si="9"/>
        <v>cycles</v>
      </c>
      <c r="B37" t="s">
        <v>9</v>
      </c>
      <c r="C37">
        <f>_xlfn.XLOOKUP(B37,Instances!$B$2:$B$29,Instances!$A$2:$A$29,,0,1)</f>
        <v>1091</v>
      </c>
      <c r="D37">
        <v>1</v>
      </c>
      <c r="E37">
        <v>15935.2</v>
      </c>
      <c r="F37">
        <v>15935.2</v>
      </c>
      <c r="G37">
        <v>15935.2</v>
      </c>
      <c r="H37">
        <v>15935.2</v>
      </c>
      <c r="I37">
        <v>15935.2</v>
      </c>
      <c r="J37">
        <v>15935.2</v>
      </c>
      <c r="K37">
        <v>15935.2</v>
      </c>
      <c r="L37">
        <v>15935.2</v>
      </c>
      <c r="M37">
        <v>15935.2</v>
      </c>
      <c r="N37" s="7">
        <f t="shared" si="10"/>
        <v>0</v>
      </c>
      <c r="O37" s="1">
        <f t="shared" si="11"/>
        <v>0</v>
      </c>
      <c r="P37" s="1">
        <f t="shared" si="12"/>
        <v>0</v>
      </c>
      <c r="Q37" s="1">
        <f t="shared" si="13"/>
        <v>0</v>
      </c>
      <c r="R37" s="1">
        <f t="shared" si="14"/>
        <v>0</v>
      </c>
      <c r="S37" s="1">
        <f t="shared" si="15"/>
        <v>0</v>
      </c>
      <c r="T37" s="1">
        <f t="shared" si="16"/>
        <v>0</v>
      </c>
      <c r="U37" s="1">
        <f t="shared" si="17"/>
        <v>0</v>
      </c>
      <c r="V37">
        <v>15858.2</v>
      </c>
      <c r="W37">
        <v>15934.3</v>
      </c>
      <c r="X37">
        <v>15858.2</v>
      </c>
      <c r="Y37">
        <v>15934.3</v>
      </c>
      <c r="Z37">
        <v>15934.3</v>
      </c>
      <c r="AA37">
        <v>15934.3</v>
      </c>
      <c r="AB37">
        <v>15934.3</v>
      </c>
      <c r="AC37">
        <v>15934.3</v>
      </c>
      <c r="AD37">
        <v>15934.3</v>
      </c>
      <c r="AE37" s="6">
        <f>Tabla13[[#This Row],[Calculated HEFT_NC]]/Tabla13[[#This Row],[Real HEFT_NC]]</f>
        <v>0.9951679301169738</v>
      </c>
      <c r="AF37" s="6">
        <f>Tabla13[[#This Row],[Calculated HEFT_DNC]]/Tabla13[[#This Row],[Real HEFT_DNC]]</f>
        <v>0.99994352126110742</v>
      </c>
      <c r="AG37" s="6">
        <f>Tabla13[[#This Row],[Calculated GA_NC]]/Tabla13[[#This Row],[Real GA_NC]]</f>
        <v>0.9951679301169738</v>
      </c>
      <c r="AH37" s="6">
        <f>Tabla13[[#This Row],[Calculated GA_DNC]]/Tabla13[[#This Row],[Real GA_DNC]]</f>
        <v>0.99994352126110742</v>
      </c>
      <c r="AI37" s="6">
        <f>Tabla13[[#This Row],[Calculated HGA_(Ph2)]]/Tabla13[[#This Row],[Real HGA_(Ph2)]]</f>
        <v>0.99994352126110742</v>
      </c>
      <c r="AJ37" s="6">
        <f>Tabla13[[#This Row],[Calculated HGA_(Ph1)]]/Tabla13[[#This Row],[Real HGA_(Ph1)]]</f>
        <v>0.99994352126110742</v>
      </c>
      <c r="AK37" s="6">
        <f>Tabla13[[#This Row],[Calculated HGA^H]]/Tabla13[[#This Row],[Real GA^H]]</f>
        <v>0.99994352126110742</v>
      </c>
      <c r="AL37" s="6">
        <f>Tabla13[[#This Row],[Calculated HGA_(Ph2)^H]]/Tabla13[[#This Row],[Real HGA_(Ph2)^H]]</f>
        <v>0.99994352126110742</v>
      </c>
      <c r="AM37" s="6">
        <f>Tabla13[[#This Row],[Calculated HGA_(Ph1)^H]]/Tabla13[[#This Row],[Real HGA_(Ph1)^H]]</f>
        <v>0.99994352126110742</v>
      </c>
    </row>
    <row r="38" spans="1:39">
      <c r="A38" s="6" t="str">
        <f t="shared" si="9"/>
        <v>cycles</v>
      </c>
      <c r="B38" t="s">
        <v>9</v>
      </c>
      <c r="C38">
        <f>_xlfn.XLOOKUP(B38,Instances!$B$2:$B$29,Instances!$A$2:$A$29,,0,1)</f>
        <v>1091</v>
      </c>
      <c r="D38">
        <v>2</v>
      </c>
      <c r="E38">
        <v>7968.19</v>
      </c>
      <c r="F38">
        <v>7967.7</v>
      </c>
      <c r="G38">
        <v>8095.7049999999999</v>
      </c>
      <c r="H38">
        <v>8093.0229999999992</v>
      </c>
      <c r="I38">
        <v>8020.6150000000007</v>
      </c>
      <c r="J38">
        <v>7969.3029999999999</v>
      </c>
      <c r="K38">
        <v>7967.6989999999987</v>
      </c>
      <c r="L38">
        <v>7967.7120000000014</v>
      </c>
      <c r="M38">
        <v>7967.7</v>
      </c>
      <c r="N38" s="7">
        <f t="shared" si="10"/>
        <v>6.1494517575482233E-5</v>
      </c>
      <c r="O38" s="1">
        <f t="shared" si="11"/>
        <v>-1.6003006956410468E-2</v>
      </c>
      <c r="P38" s="1">
        <f t="shared" si="12"/>
        <v>-1.566641859694606E-2</v>
      </c>
      <c r="Q38" s="1">
        <f t="shared" si="13"/>
        <v>-6.5792858855023657E-3</v>
      </c>
      <c r="R38" s="1">
        <f t="shared" si="14"/>
        <v>-1.396804042072646E-4</v>
      </c>
      <c r="S38" s="1">
        <f t="shared" si="15"/>
        <v>6.1620016591082156E-5</v>
      </c>
      <c r="T38" s="1">
        <f t="shared" si="16"/>
        <v>5.9988529389766875E-5</v>
      </c>
      <c r="U38" s="1">
        <f t="shared" si="17"/>
        <v>6.1494517575482233E-5</v>
      </c>
      <c r="V38">
        <v>7929.1000000000013</v>
      </c>
      <c r="W38">
        <v>7967.1799999999976</v>
      </c>
      <c r="X38">
        <v>8056.7190000000001</v>
      </c>
      <c r="Y38">
        <v>8092.5029999999997</v>
      </c>
      <c r="Z38">
        <v>8020.0899999999992</v>
      </c>
      <c r="AA38">
        <v>7968.7830000000004</v>
      </c>
      <c r="AB38">
        <v>7967.17</v>
      </c>
      <c r="AC38">
        <v>7967.17</v>
      </c>
      <c r="AD38">
        <v>7967.1760000000013</v>
      </c>
      <c r="AE38" s="6">
        <f>Tabla13[[#This Row],[Calculated HEFT_NC]]/Tabla13[[#This Row],[Real HEFT_NC]]</f>
        <v>0.99509424348566011</v>
      </c>
      <c r="AF38" s="6">
        <f>Tabla13[[#This Row],[Calculated HEFT_DNC]]/Tabla13[[#This Row],[Real HEFT_DNC]]</f>
        <v>0.99993473649861286</v>
      </c>
      <c r="AG38" s="6">
        <f>Tabla13[[#This Row],[Calculated GA_NC]]/Tabla13[[#This Row],[Real GA_NC]]</f>
        <v>0.99518436010205413</v>
      </c>
      <c r="AH38" s="6">
        <f>Tabla13[[#This Row],[Calculated GA_DNC]]/Tabla13[[#This Row],[Real GA_DNC]]</f>
        <v>0.9999357471244058</v>
      </c>
      <c r="AI38" s="6">
        <f>Tabla13[[#This Row],[Calculated HGA_(Ph2)]]/Tabla13[[#This Row],[Real HGA_(Ph2)]]</f>
        <v>0.99993454367277301</v>
      </c>
      <c r="AJ38" s="6">
        <f>Tabla13[[#This Row],[Calculated HGA_(Ph1)]]/Tabla13[[#This Row],[Real HGA_(Ph1)]]</f>
        <v>0.99993474962615936</v>
      </c>
      <c r="AK38" s="6">
        <f>Tabla13[[#This Row],[Calculated HGA^H]]/Tabla13[[#This Row],[Real GA^H]]</f>
        <v>0.99993360692967959</v>
      </c>
      <c r="AL38" s="6">
        <f>Tabla13[[#This Row],[Calculated HGA_(Ph2)^H]]/Tabla13[[#This Row],[Real HGA_(Ph2)^H]]</f>
        <v>0.99993197545292789</v>
      </c>
      <c r="AM38" s="6">
        <f>Tabla13[[#This Row],[Calculated HGA_(Ph1)^H]]/Tabla13[[#This Row],[Real HGA_(Ph1)^H]]</f>
        <v>0.99993423447167962</v>
      </c>
    </row>
    <row r="39" spans="1:39">
      <c r="A39" s="6" t="str">
        <f t="shared" si="9"/>
        <v>cycles</v>
      </c>
      <c r="B39" t="s">
        <v>9</v>
      </c>
      <c r="C39">
        <f>_xlfn.XLOOKUP(B39,Instances!$B$2:$B$29,Instances!$A$2:$A$29,,0,1)</f>
        <v>1091</v>
      </c>
      <c r="D39">
        <v>4</v>
      </c>
      <c r="E39">
        <v>3984.47</v>
      </c>
      <c r="F39">
        <v>3983.880000000001</v>
      </c>
      <c r="G39">
        <v>4204.3969999999999</v>
      </c>
      <c r="H39">
        <v>4203.8339999999998</v>
      </c>
      <c r="I39">
        <v>4147.9109999999991</v>
      </c>
      <c r="J39">
        <v>4093.47</v>
      </c>
      <c r="K39">
        <v>3983.871000000001</v>
      </c>
      <c r="L39">
        <v>3983.886</v>
      </c>
      <c r="M39">
        <v>3983.88</v>
      </c>
      <c r="N39" s="7">
        <f t="shared" si="10"/>
        <v>1.4807490080205932E-4</v>
      </c>
      <c r="O39" s="1">
        <f t="shared" si="11"/>
        <v>-5.5196048658918286E-2</v>
      </c>
      <c r="P39" s="1">
        <f t="shared" si="12"/>
        <v>-5.5054750067135665E-2</v>
      </c>
      <c r="Q39" s="1">
        <f t="shared" si="13"/>
        <v>-4.1019508240744532E-2</v>
      </c>
      <c r="R39" s="1">
        <f t="shared" si="14"/>
        <v>-2.735621048721662E-2</v>
      </c>
      <c r="S39" s="1">
        <f t="shared" si="15"/>
        <v>1.5033367047531939E-4</v>
      </c>
      <c r="T39" s="1">
        <f t="shared" si="16"/>
        <v>1.4656905435348556E-4</v>
      </c>
      <c r="U39" s="1">
        <f t="shared" si="17"/>
        <v>1.4807490080228757E-4</v>
      </c>
      <c r="V39">
        <v>3964.79</v>
      </c>
      <c r="W39">
        <v>3983.5899999999988</v>
      </c>
      <c r="X39">
        <v>4183.893</v>
      </c>
      <c r="Y39">
        <v>4203.5450000000001</v>
      </c>
      <c r="Z39">
        <v>4147.621000000001</v>
      </c>
      <c r="AA39">
        <v>4093.1990000000001</v>
      </c>
      <c r="AB39">
        <v>3983.5899999999988</v>
      </c>
      <c r="AC39">
        <v>3983.58</v>
      </c>
      <c r="AD39">
        <v>3983.5899999999988</v>
      </c>
      <c r="AE39" s="6">
        <f>Tabla13[[#This Row],[Calculated HEFT_NC]]/Tabla13[[#This Row],[Real HEFT_NC]]</f>
        <v>0.99506082364781268</v>
      </c>
      <c r="AF39" s="6">
        <f>Tabla13[[#This Row],[Calculated HEFT_DNC]]/Tabla13[[#This Row],[Real HEFT_DNC]]</f>
        <v>0.99992720664276979</v>
      </c>
      <c r="AG39" s="6">
        <f>Tabla13[[#This Row],[Calculated GA_NC]]/Tabla13[[#This Row],[Real GA_NC]]</f>
        <v>0.995123200782419</v>
      </c>
      <c r="AH39" s="6">
        <f>Tabla13[[#This Row],[Calculated GA_DNC]]/Tabla13[[#This Row],[Real GA_DNC]]</f>
        <v>0.99993125323216858</v>
      </c>
      <c r="AI39" s="6">
        <f>Tabla13[[#This Row],[Calculated HGA_(Ph2)]]/Tabla13[[#This Row],[Real HGA_(Ph2)]]</f>
        <v>0.99993008528871563</v>
      </c>
      <c r="AJ39" s="6">
        <f>Tabla13[[#This Row],[Calculated HGA_(Ph1)]]/Tabla13[[#This Row],[Real HGA_(Ph1)]]</f>
        <v>0.99993379699863449</v>
      </c>
      <c r="AK39" s="6">
        <f>Tabla13[[#This Row],[Calculated HGA^H]]/Tabla13[[#This Row],[Real GA^H]]</f>
        <v>0.99992946558761509</v>
      </c>
      <c r="AL39" s="6">
        <f>Tabla13[[#This Row],[Calculated HGA_(Ph2)^H]]/Tabla13[[#This Row],[Real HGA_(Ph2)^H]]</f>
        <v>0.99992319057322421</v>
      </c>
      <c r="AM39" s="6">
        <f>Tabla13[[#This Row],[Calculated HGA_(Ph1)^H]]/Tabla13[[#This Row],[Real HGA_(Ph1)^H]]</f>
        <v>0.99992720664277002</v>
      </c>
    </row>
    <row r="40" spans="1:39">
      <c r="A40" s="6" t="str">
        <f t="shared" si="9"/>
        <v>cycles</v>
      </c>
      <c r="B40" t="s">
        <v>9</v>
      </c>
      <c r="C40">
        <f>_xlfn.XLOOKUP(B40,Instances!$B$2:$B$29,Instances!$A$2:$A$29,,0,1)</f>
        <v>1091</v>
      </c>
      <c r="D40">
        <v>8</v>
      </c>
      <c r="E40">
        <v>1992.38</v>
      </c>
      <c r="F40">
        <v>1992.1</v>
      </c>
      <c r="G40">
        <v>2255.5459999999998</v>
      </c>
      <c r="H40">
        <v>2261.85</v>
      </c>
      <c r="I40">
        <v>2204.663</v>
      </c>
      <c r="J40">
        <v>2330.6889999999999</v>
      </c>
      <c r="K40">
        <v>1992.0730000000001</v>
      </c>
      <c r="L40">
        <v>1991.99</v>
      </c>
      <c r="M40">
        <v>1992.1</v>
      </c>
      <c r="N40" s="7">
        <f t="shared" si="10"/>
        <v>1.405354400266014E-4</v>
      </c>
      <c r="O40" s="1">
        <f t="shared" si="11"/>
        <v>-0.13208624860719326</v>
      </c>
      <c r="P40" s="1">
        <f t="shared" si="12"/>
        <v>-0.1352503036569328</v>
      </c>
      <c r="Q40" s="1">
        <f t="shared" si="13"/>
        <v>-0.10654744576837746</v>
      </c>
      <c r="R40" s="1">
        <f t="shared" si="14"/>
        <v>-0.16980144349973383</v>
      </c>
      <c r="S40" s="1">
        <f t="shared" si="15"/>
        <v>1.5408707174335035E-4</v>
      </c>
      <c r="T40" s="1">
        <f t="shared" si="16"/>
        <v>1.957457914655337E-4</v>
      </c>
      <c r="U40" s="1">
        <f t="shared" si="17"/>
        <v>1.405354400266014E-4</v>
      </c>
      <c r="V40">
        <v>1982.41</v>
      </c>
      <c r="W40">
        <v>1991.94</v>
      </c>
      <c r="X40">
        <v>2245.0329999999999</v>
      </c>
      <c r="Y40">
        <v>2261.7150000000001</v>
      </c>
      <c r="Z40">
        <v>2204.502</v>
      </c>
      <c r="AA40">
        <v>2330.5479999999998</v>
      </c>
      <c r="AB40">
        <v>1991.922</v>
      </c>
      <c r="AC40">
        <v>1991.826</v>
      </c>
      <c r="AD40">
        <v>1991.94</v>
      </c>
      <c r="AE40" s="6">
        <f>Tabla13[[#This Row],[Calculated HEFT_NC]]/Tabla13[[#This Row],[Real HEFT_NC]]</f>
        <v>0.99499593451048496</v>
      </c>
      <c r="AF40" s="6">
        <f>Tabla13[[#This Row],[Calculated HEFT_DNC]]/Tabla13[[#This Row],[Real HEFT_DNC]]</f>
        <v>0.99991968274685017</v>
      </c>
      <c r="AG40" s="6">
        <f>Tabla13[[#This Row],[Calculated GA_NC]]/Tabla13[[#This Row],[Real GA_NC]]</f>
        <v>0.99533904429348818</v>
      </c>
      <c r="AH40" s="6">
        <f>Tabla13[[#This Row],[Calculated GA_DNC]]/Tabla13[[#This Row],[Real GA_DNC]]</f>
        <v>0.99994031434445263</v>
      </c>
      <c r="AI40" s="6">
        <f>Tabla13[[#This Row],[Calculated HGA_(Ph2)]]/Tabla13[[#This Row],[Real HGA_(Ph2)]]</f>
        <v>0.99992697296593624</v>
      </c>
      <c r="AJ40" s="6">
        <f>Tabla13[[#This Row],[Calculated HGA_(Ph1)]]/Tabla13[[#This Row],[Real HGA_(Ph1)]]</f>
        <v>0.99993950286803601</v>
      </c>
      <c r="AK40" s="6">
        <f>Tabla13[[#This Row],[Calculated HGA^H]]/Tabla13[[#This Row],[Real GA^H]]</f>
        <v>0.9999241995649758</v>
      </c>
      <c r="AL40" s="6">
        <f>Tabla13[[#This Row],[Calculated HGA_(Ph2)^H]]/Tabla13[[#This Row],[Real HGA_(Ph2)^H]]</f>
        <v>0.99991767026942902</v>
      </c>
      <c r="AM40" s="6">
        <f>Tabla13[[#This Row],[Calculated HGA_(Ph1)^H]]/Tabla13[[#This Row],[Real HGA_(Ph1)^H]]</f>
        <v>0.99991968274685017</v>
      </c>
    </row>
    <row r="41" spans="1:39">
      <c r="A41" s="6" t="str">
        <f t="shared" si="9"/>
        <v>cycles</v>
      </c>
      <c r="B41" t="s">
        <v>9</v>
      </c>
      <c r="C41">
        <f>_xlfn.XLOOKUP(B41,Instances!$B$2:$B$29,Instances!$A$2:$A$29,,0,1)</f>
        <v>1091</v>
      </c>
      <c r="D41">
        <v>16</v>
      </c>
      <c r="E41">
        <v>996.52800000000002</v>
      </c>
      <c r="F41">
        <v>996.19600000000003</v>
      </c>
      <c r="G41">
        <v>1312.6479999999999</v>
      </c>
      <c r="H41">
        <v>1316.3989999999999</v>
      </c>
      <c r="I41">
        <v>1234.271</v>
      </c>
      <c r="J41">
        <v>1382.3679999999999</v>
      </c>
      <c r="K41">
        <v>996.14899999999977</v>
      </c>
      <c r="L41">
        <v>996.03599999999983</v>
      </c>
      <c r="M41">
        <v>996.19600000000014</v>
      </c>
      <c r="N41" s="7">
        <f t="shared" si="10"/>
        <v>3.3315672013229297E-4</v>
      </c>
      <c r="O41" s="1">
        <f t="shared" si="11"/>
        <v>-0.31722139267536875</v>
      </c>
      <c r="P41" s="1">
        <f t="shared" si="12"/>
        <v>-0.32098546152240565</v>
      </c>
      <c r="Q41" s="1">
        <f t="shared" si="13"/>
        <v>-0.23857131962172656</v>
      </c>
      <c r="R41" s="1">
        <f t="shared" si="14"/>
        <v>-0.38718430390315167</v>
      </c>
      <c r="S41" s="1">
        <f t="shared" si="15"/>
        <v>3.8032047268139627E-4</v>
      </c>
      <c r="T41" s="1">
        <f t="shared" si="16"/>
        <v>4.9371417561793461E-4</v>
      </c>
      <c r="U41" s="1">
        <f t="shared" si="17"/>
        <v>3.3315672013217886E-4</v>
      </c>
      <c r="V41">
        <v>991.37299999999993</v>
      </c>
      <c r="W41">
        <v>996.11699999999996</v>
      </c>
      <c r="X41">
        <v>1307.8399999999999</v>
      </c>
      <c r="Y41">
        <v>1316.3240000000001</v>
      </c>
      <c r="Z41">
        <v>1234.1849999999999</v>
      </c>
      <c r="AA41">
        <v>1382.2719999999999</v>
      </c>
      <c r="AB41">
        <v>996.06849999999997</v>
      </c>
      <c r="AC41">
        <v>995.95240000000013</v>
      </c>
      <c r="AD41">
        <v>996.11699999999996</v>
      </c>
      <c r="AE41" s="6">
        <f>Tabla13[[#This Row],[Calculated HEFT_NC]]/Tabla13[[#This Row],[Real HEFT_NC]]</f>
        <v>0.9948270394810782</v>
      </c>
      <c r="AF41" s="6">
        <f>Tabla13[[#This Row],[Calculated HEFT_DNC]]/Tabla13[[#This Row],[Real HEFT_DNC]]</f>
        <v>0.9999206983364719</v>
      </c>
      <c r="AG41" s="6">
        <f>Tabla13[[#This Row],[Calculated GA_NC]]/Tabla13[[#This Row],[Real GA_NC]]</f>
        <v>0.99633717493189344</v>
      </c>
      <c r="AH41" s="6">
        <f>Tabla13[[#This Row],[Calculated GA_DNC]]/Tabla13[[#This Row],[Real GA_DNC]]</f>
        <v>0.99994302639245414</v>
      </c>
      <c r="AI41" s="6">
        <f>Tabla13[[#This Row],[Calculated HGA_(Ph2)]]/Tabla13[[#This Row],[Real HGA_(Ph2)]]</f>
        <v>0.99993032324343678</v>
      </c>
      <c r="AJ41" s="6">
        <f>Tabla13[[#This Row],[Calculated HGA_(Ph1)]]/Tabla13[[#This Row],[Real HGA_(Ph1)]]</f>
        <v>0.99993055394800801</v>
      </c>
      <c r="AK41" s="6">
        <f>Tabla13[[#This Row],[Calculated HGA^H]]/Tabla13[[#This Row],[Real GA^H]]</f>
        <v>0.99991918879605379</v>
      </c>
      <c r="AL41" s="6">
        <f>Tabla13[[#This Row],[Calculated HGA_(Ph2)^H]]/Tabla13[[#This Row],[Real HGA_(Ph2)^H]]</f>
        <v>0.99991606729074078</v>
      </c>
      <c r="AM41" s="6">
        <f>Tabla13[[#This Row],[Calculated HGA_(Ph1)^H]]/Tabla13[[#This Row],[Real HGA_(Ph1)^H]]</f>
        <v>0.99992069833647179</v>
      </c>
    </row>
    <row r="42" spans="1:39">
      <c r="A42" s="6" t="str">
        <f t="shared" si="9"/>
        <v>epigenomics</v>
      </c>
      <c r="B42" t="s">
        <v>10</v>
      </c>
      <c r="C42">
        <f>_xlfn.XLOOKUP(B42,Instances!$B$2:$B$29,Instances!$A$2:$A$29,,0,1)</f>
        <v>41</v>
      </c>
      <c r="D42">
        <v>1</v>
      </c>
      <c r="E42">
        <v>550.68299999999999</v>
      </c>
      <c r="F42">
        <v>550.68299999999999</v>
      </c>
      <c r="G42">
        <v>550.68299999999999</v>
      </c>
      <c r="H42">
        <v>550.68299999999999</v>
      </c>
      <c r="I42">
        <v>550.68299999999999</v>
      </c>
      <c r="J42">
        <v>550.68299999999999</v>
      </c>
      <c r="K42">
        <v>550.68299999999999</v>
      </c>
      <c r="L42">
        <v>550.68299999999999</v>
      </c>
      <c r="M42">
        <v>550.68299999999999</v>
      </c>
      <c r="N42" s="7">
        <f t="shared" si="10"/>
        <v>0</v>
      </c>
      <c r="O42" s="1">
        <f t="shared" si="11"/>
        <v>0</v>
      </c>
      <c r="P42" s="1">
        <f t="shared" si="12"/>
        <v>0</v>
      </c>
      <c r="Q42" s="1">
        <f t="shared" si="13"/>
        <v>0</v>
      </c>
      <c r="R42" s="1">
        <f t="shared" si="14"/>
        <v>0</v>
      </c>
      <c r="S42" s="1">
        <f t="shared" si="15"/>
        <v>0</v>
      </c>
      <c r="T42" s="1">
        <f t="shared" si="16"/>
        <v>0</v>
      </c>
      <c r="U42" s="1">
        <f t="shared" si="17"/>
        <v>0</v>
      </c>
      <c r="V42">
        <v>539.30700000000002</v>
      </c>
      <c r="W42">
        <v>550.62400000000002</v>
      </c>
      <c r="X42">
        <v>539.30700000000002</v>
      </c>
      <c r="Y42">
        <v>550.62400000000002</v>
      </c>
      <c r="Z42">
        <v>550.62400000000002</v>
      </c>
      <c r="AA42">
        <v>550.62400000000002</v>
      </c>
      <c r="AB42">
        <v>550.62400000000002</v>
      </c>
      <c r="AC42">
        <v>550.62400000000002</v>
      </c>
      <c r="AD42">
        <v>550.62400000000002</v>
      </c>
      <c r="AE42" s="6">
        <f>Tabla13[[#This Row],[Calculated HEFT_NC]]/Tabla13[[#This Row],[Real HEFT_NC]]</f>
        <v>0.97934201709513458</v>
      </c>
      <c r="AF42" s="6">
        <f>Tabla13[[#This Row],[Calculated HEFT_DNC]]/Tabla13[[#This Row],[Real HEFT_DNC]]</f>
        <v>0.99989286032072899</v>
      </c>
      <c r="AG42" s="6">
        <f>Tabla13[[#This Row],[Calculated GA_NC]]/Tabla13[[#This Row],[Real GA_NC]]</f>
        <v>0.97934201709513458</v>
      </c>
      <c r="AH42" s="6">
        <f>Tabla13[[#This Row],[Calculated GA_DNC]]/Tabla13[[#This Row],[Real GA_DNC]]</f>
        <v>0.99989286032072899</v>
      </c>
      <c r="AI42" s="6">
        <f>Tabla13[[#This Row],[Calculated HGA_(Ph2)]]/Tabla13[[#This Row],[Real HGA_(Ph2)]]</f>
        <v>0.99989286032072899</v>
      </c>
      <c r="AJ42" s="6">
        <f>Tabla13[[#This Row],[Calculated HGA_(Ph1)]]/Tabla13[[#This Row],[Real HGA_(Ph1)]]</f>
        <v>0.99989286032072899</v>
      </c>
      <c r="AK42" s="6">
        <f>Tabla13[[#This Row],[Calculated HGA^H]]/Tabla13[[#This Row],[Real GA^H]]</f>
        <v>0.99989286032072899</v>
      </c>
      <c r="AL42" s="6">
        <f>Tabla13[[#This Row],[Calculated HGA_(Ph2)^H]]/Tabla13[[#This Row],[Real HGA_(Ph2)^H]]</f>
        <v>0.99989286032072899</v>
      </c>
      <c r="AM42" s="6">
        <f>Tabla13[[#This Row],[Calculated HGA_(Ph1)^H]]/Tabla13[[#This Row],[Real HGA_(Ph1)^H]]</f>
        <v>0.99989286032072899</v>
      </c>
    </row>
    <row r="43" spans="1:39">
      <c r="A43" s="6" t="str">
        <f t="shared" si="9"/>
        <v>epigenomics</v>
      </c>
      <c r="B43" t="s">
        <v>10</v>
      </c>
      <c r="C43">
        <f>_xlfn.XLOOKUP(B43,Instances!$B$2:$B$29,Instances!$A$2:$A$29,,0,1)</f>
        <v>41</v>
      </c>
      <c r="D43">
        <v>2</v>
      </c>
      <c r="E43">
        <v>316.93700000000001</v>
      </c>
      <c r="F43">
        <v>316.39299999999997</v>
      </c>
      <c r="G43">
        <v>299.70060000000001</v>
      </c>
      <c r="H43">
        <v>299.38850000000002</v>
      </c>
      <c r="I43">
        <v>299.24119999999999</v>
      </c>
      <c r="J43">
        <v>316.87220000000002</v>
      </c>
      <c r="K43">
        <v>299.40440000000001</v>
      </c>
      <c r="L43">
        <v>299.40240000000011</v>
      </c>
      <c r="M43">
        <v>316.50029999999998</v>
      </c>
      <c r="N43" s="7">
        <f t="shared" si="10"/>
        <v>1.7164294481238844E-3</v>
      </c>
      <c r="O43" s="1">
        <f t="shared" si="11"/>
        <v>5.4384309815515397E-2</v>
      </c>
      <c r="P43" s="1">
        <f t="shared" si="12"/>
        <v>5.5369048107352534E-2</v>
      </c>
      <c r="Q43" s="1">
        <f t="shared" si="13"/>
        <v>5.5833809242846429E-2</v>
      </c>
      <c r="R43" s="1">
        <f t="shared" si="14"/>
        <v>2.0445703720294912E-4</v>
      </c>
      <c r="S43" s="1">
        <f t="shared" si="15"/>
        <v>5.5318880408409245E-2</v>
      </c>
      <c r="T43" s="1">
        <f t="shared" si="16"/>
        <v>5.5325190810791729E-2</v>
      </c>
      <c r="U43" s="1">
        <f t="shared" si="17"/>
        <v>1.3778763602862092E-3</v>
      </c>
      <c r="V43">
        <v>309.11700000000008</v>
      </c>
      <c r="W43">
        <v>315.99799999999999</v>
      </c>
      <c r="X43">
        <v>293.09230000000002</v>
      </c>
      <c r="Y43">
        <v>298.76459999999997</v>
      </c>
      <c r="Z43">
        <v>298.68669999999997</v>
      </c>
      <c r="AA43">
        <v>315.93139999999988</v>
      </c>
      <c r="AB43">
        <v>298.79360000000003</v>
      </c>
      <c r="AC43">
        <v>298.98439999999999</v>
      </c>
      <c r="AD43">
        <v>315.803</v>
      </c>
      <c r="AE43" s="6">
        <f>Tabla13[[#This Row],[Calculated HEFT_NC]]/Tabla13[[#This Row],[Real HEFT_NC]]</f>
        <v>0.97532632668322117</v>
      </c>
      <c r="AF43" s="6">
        <f>Tabla13[[#This Row],[Calculated HEFT_DNC]]/Tabla13[[#This Row],[Real HEFT_DNC]]</f>
        <v>0.99875155265761262</v>
      </c>
      <c r="AG43" s="6">
        <f>Tabla13[[#This Row],[Calculated GA_NC]]/Tabla13[[#This Row],[Real GA_NC]]</f>
        <v>0.97795032776043833</v>
      </c>
      <c r="AH43" s="6">
        <f>Tabla13[[#This Row],[Calculated GA_DNC]]/Tabla13[[#This Row],[Real GA_DNC]]</f>
        <v>0.99791608562119105</v>
      </c>
      <c r="AI43" s="6">
        <f>Tabla13[[#This Row],[Calculated HGA_(Ph2)]]/Tabla13[[#This Row],[Real HGA_(Ph2)]]</f>
        <v>0.99814697976080824</v>
      </c>
      <c r="AJ43" s="6">
        <f>Tabla13[[#This Row],[Calculated HGA_(Ph1)]]/Tabla13[[#This Row],[Real HGA_(Ph1)]]</f>
        <v>0.99703097968202914</v>
      </c>
      <c r="AK43" s="6">
        <f>Tabla13[[#This Row],[Calculated HGA^H]]/Tabla13[[#This Row],[Real GA^H]]</f>
        <v>0.99795994982037672</v>
      </c>
      <c r="AL43" s="6">
        <f>Tabla13[[#This Row],[Calculated HGA_(Ph2)^H]]/Tabla13[[#This Row],[Real HGA_(Ph2)^H]]</f>
        <v>0.99860388560679503</v>
      </c>
      <c r="AM43" s="6">
        <f>Tabla13[[#This Row],[Calculated HGA_(Ph1)^H]]/Tabla13[[#This Row],[Real HGA_(Ph1)^H]]</f>
        <v>0.99779684253063905</v>
      </c>
    </row>
    <row r="44" spans="1:39">
      <c r="A44" s="6" t="str">
        <f t="shared" si="9"/>
        <v>epigenomics</v>
      </c>
      <c r="B44" t="s">
        <v>10</v>
      </c>
      <c r="C44">
        <f>_xlfn.XLOOKUP(B44,Instances!$B$2:$B$29,Instances!$A$2:$A$29,,0,1)</f>
        <v>41</v>
      </c>
      <c r="D44">
        <v>4</v>
      </c>
      <c r="E44">
        <v>200.428</v>
      </c>
      <c r="F44">
        <v>200.14500000000001</v>
      </c>
      <c r="G44">
        <v>187.77260000000001</v>
      </c>
      <c r="H44">
        <v>188.6086</v>
      </c>
      <c r="I44">
        <v>186.3322</v>
      </c>
      <c r="J44">
        <v>202.1848</v>
      </c>
      <c r="K44">
        <v>190.3494</v>
      </c>
      <c r="L44">
        <v>186.36269999999999</v>
      </c>
      <c r="M44">
        <v>200.14500000000001</v>
      </c>
      <c r="N44" s="7">
        <f t="shared" si="10"/>
        <v>1.4119783662960616E-3</v>
      </c>
      <c r="O44" s="1">
        <f t="shared" si="11"/>
        <v>6.3141876384537027E-2</v>
      </c>
      <c r="P44" s="1">
        <f t="shared" si="12"/>
        <v>5.897080248268706E-2</v>
      </c>
      <c r="Q44" s="1">
        <f t="shared" si="13"/>
        <v>7.0328497016384925E-2</v>
      </c>
      <c r="R44" s="1">
        <f t="shared" si="14"/>
        <v>-8.7652423813040017E-3</v>
      </c>
      <c r="S44" s="1">
        <f t="shared" si="15"/>
        <v>5.0285389266968662E-2</v>
      </c>
      <c r="T44" s="1">
        <f t="shared" si="16"/>
        <v>7.017632266948734E-2</v>
      </c>
      <c r="U44" s="1">
        <f t="shared" si="17"/>
        <v>1.4119783662960616E-3</v>
      </c>
      <c r="V44">
        <v>193.10300000000001</v>
      </c>
      <c r="W44">
        <v>198.65899999999999</v>
      </c>
      <c r="X44">
        <v>182.63140000000001</v>
      </c>
      <c r="Y44">
        <v>187.8372</v>
      </c>
      <c r="Z44">
        <v>186.05099999999999</v>
      </c>
      <c r="AA44">
        <v>200.93389999999999</v>
      </c>
      <c r="AB44">
        <v>189.60069999999999</v>
      </c>
      <c r="AC44">
        <v>186.05099999999999</v>
      </c>
      <c r="AD44">
        <v>198.65899999999999</v>
      </c>
      <c r="AE44" s="6">
        <f>Tabla13[[#This Row],[Calculated HEFT_NC]]/Tabla13[[#This Row],[Real HEFT_NC]]</f>
        <v>0.96345321013032115</v>
      </c>
      <c r="AF44" s="6">
        <f>Tabla13[[#This Row],[Calculated HEFT_DNC]]/Tabla13[[#This Row],[Real HEFT_DNC]]</f>
        <v>0.99257538284743552</v>
      </c>
      <c r="AG44" s="6">
        <f>Tabla13[[#This Row],[Calculated GA_NC]]/Tabla13[[#This Row],[Real GA_NC]]</f>
        <v>0.97262007342924373</v>
      </c>
      <c r="AH44" s="6">
        <f>Tabla13[[#This Row],[Calculated GA_DNC]]/Tabla13[[#This Row],[Real GA_DNC]]</f>
        <v>0.99591004864041199</v>
      </c>
      <c r="AI44" s="6">
        <f>Tabla13[[#This Row],[Calculated HGA_(Ph2)]]/Tabla13[[#This Row],[Real HGA_(Ph2)]]</f>
        <v>0.99849086738631321</v>
      </c>
      <c r="AJ44" s="6">
        <f>Tabla13[[#This Row],[Calculated HGA_(Ph1)]]/Tabla13[[#This Row],[Real HGA_(Ph1)]]</f>
        <v>0.99381308585017269</v>
      </c>
      <c r="AK44" s="6">
        <f>Tabla13[[#This Row],[Calculated HGA^H]]/Tabla13[[#This Row],[Real GA^H]]</f>
        <v>0.99606670680338361</v>
      </c>
      <c r="AL44" s="6">
        <f>Tabla13[[#This Row],[Calculated HGA_(Ph2)^H]]/Tabla13[[#This Row],[Real HGA_(Ph2)^H]]</f>
        <v>0.99832745501111542</v>
      </c>
      <c r="AM44" s="6">
        <f>Tabla13[[#This Row],[Calculated HGA_(Ph1)^H]]/Tabla13[[#This Row],[Real HGA_(Ph1)^H]]</f>
        <v>0.99257538284743552</v>
      </c>
    </row>
    <row r="45" spans="1:39">
      <c r="A45" s="6" t="str">
        <f t="shared" si="9"/>
        <v>epigenomics</v>
      </c>
      <c r="B45" t="s">
        <v>10</v>
      </c>
      <c r="C45">
        <f>_xlfn.XLOOKUP(B45,Instances!$B$2:$B$29,Instances!$A$2:$A$29,,0,1)</f>
        <v>41</v>
      </c>
      <c r="D45">
        <v>8</v>
      </c>
      <c r="E45">
        <v>137.154</v>
      </c>
      <c r="F45">
        <v>137.154</v>
      </c>
      <c r="G45">
        <v>134.31180000000001</v>
      </c>
      <c r="H45">
        <v>134.19550000000001</v>
      </c>
      <c r="I45">
        <v>133.77279999999999</v>
      </c>
      <c r="J45">
        <v>162.56790000000001</v>
      </c>
      <c r="K45">
        <v>134.7637</v>
      </c>
      <c r="L45">
        <v>133.773</v>
      </c>
      <c r="M45">
        <v>137.154</v>
      </c>
      <c r="N45" s="7">
        <f t="shared" si="10"/>
        <v>0</v>
      </c>
      <c r="O45" s="1">
        <f t="shared" si="11"/>
        <v>2.072269128133333E-2</v>
      </c>
      <c r="P45" s="1">
        <f t="shared" si="12"/>
        <v>2.1570643218571727E-2</v>
      </c>
      <c r="Q45" s="1">
        <f t="shared" si="13"/>
        <v>2.46525803111831E-2</v>
      </c>
      <c r="R45" s="1">
        <f t="shared" si="14"/>
        <v>-0.18529463231112481</v>
      </c>
      <c r="S45" s="1">
        <f t="shared" si="15"/>
        <v>1.7427854820129172E-2</v>
      </c>
      <c r="T45" s="1">
        <f t="shared" si="16"/>
        <v>2.4651122096329674E-2</v>
      </c>
      <c r="U45" s="1">
        <f t="shared" si="17"/>
        <v>0</v>
      </c>
      <c r="V45">
        <v>131.48099999999999</v>
      </c>
      <c r="W45">
        <v>135.61600000000001</v>
      </c>
      <c r="X45">
        <v>129.38730000000001</v>
      </c>
      <c r="Y45">
        <v>133.34200000000001</v>
      </c>
      <c r="Z45">
        <v>133.34200000000001</v>
      </c>
      <c r="AA45">
        <v>161.11680000000001</v>
      </c>
      <c r="AB45">
        <v>133.7594</v>
      </c>
      <c r="AC45">
        <v>133.34200000000001</v>
      </c>
      <c r="AD45">
        <v>135.61600000000001</v>
      </c>
      <c r="AE45" s="6">
        <f>Tabla13[[#This Row],[Calculated HEFT_NC]]/Tabla13[[#This Row],[Real HEFT_NC]]</f>
        <v>0.9586377356839757</v>
      </c>
      <c r="AF45" s="6">
        <f>Tabla13[[#This Row],[Calculated HEFT_DNC]]/Tabla13[[#This Row],[Real HEFT_DNC]]</f>
        <v>0.98878632777753483</v>
      </c>
      <c r="AG45" s="6">
        <f>Tabla13[[#This Row],[Calculated GA_NC]]/Tabla13[[#This Row],[Real GA_NC]]</f>
        <v>0.96333531379968107</v>
      </c>
      <c r="AH45" s="6">
        <f>Tabla13[[#This Row],[Calculated GA_DNC]]/Tabla13[[#This Row],[Real GA_DNC]]</f>
        <v>0.99363987615083971</v>
      </c>
      <c r="AI45" s="6">
        <f>Tabla13[[#This Row],[Calculated HGA_(Ph2)]]/Tabla13[[#This Row],[Real HGA_(Ph2)]]</f>
        <v>0.99677961439096752</v>
      </c>
      <c r="AJ45" s="6">
        <f>Tabla13[[#This Row],[Calculated HGA_(Ph1)]]/Tabla13[[#This Row],[Real HGA_(Ph1)]]</f>
        <v>0.99107388358956472</v>
      </c>
      <c r="AK45" s="6">
        <f>Tabla13[[#This Row],[Calculated HGA^H]]/Tabla13[[#This Row],[Real GA^H]]</f>
        <v>0.99254769644941476</v>
      </c>
      <c r="AL45" s="6">
        <f>Tabla13[[#This Row],[Calculated HGA_(Ph2)^H]]/Tabla13[[#This Row],[Real HGA_(Ph2)^H]]</f>
        <v>0.9967781241356628</v>
      </c>
      <c r="AM45" s="6">
        <f>Tabla13[[#This Row],[Calculated HGA_(Ph1)^H]]/Tabla13[[#This Row],[Real HGA_(Ph1)^H]]</f>
        <v>0.98878632777753483</v>
      </c>
    </row>
    <row r="46" spans="1:39">
      <c r="A46" s="6" t="str">
        <f t="shared" si="9"/>
        <v>epigenomics</v>
      </c>
      <c r="B46" t="s">
        <v>10</v>
      </c>
      <c r="C46">
        <f>_xlfn.XLOOKUP(B46,Instances!$B$2:$B$29,Instances!$A$2:$A$29,,0,1)</f>
        <v>41</v>
      </c>
      <c r="D46">
        <v>16</v>
      </c>
      <c r="E46">
        <v>109.64</v>
      </c>
      <c r="F46">
        <v>109.64</v>
      </c>
      <c r="G46">
        <v>109.8439</v>
      </c>
      <c r="H46">
        <v>110.7303</v>
      </c>
      <c r="I46">
        <v>110.47790000000001</v>
      </c>
      <c r="J46">
        <v>110.06950000000001</v>
      </c>
      <c r="K46">
        <v>110.6575</v>
      </c>
      <c r="L46">
        <v>110.47790000000001</v>
      </c>
      <c r="M46">
        <v>109.9195</v>
      </c>
      <c r="N46" s="7">
        <f t="shared" si="10"/>
        <v>0</v>
      </c>
      <c r="O46" s="1">
        <f t="shared" si="11"/>
        <v>-1.8597227289310872E-3</v>
      </c>
      <c r="P46" s="1">
        <f t="shared" si="12"/>
        <v>-9.9443633710324629E-3</v>
      </c>
      <c r="Q46" s="1">
        <f t="shared" si="13"/>
        <v>-7.642283838015366E-3</v>
      </c>
      <c r="R46" s="1">
        <f t="shared" si="14"/>
        <v>-3.9173659248449878E-3</v>
      </c>
      <c r="S46" s="1">
        <f t="shared" si="15"/>
        <v>-9.2803721269609472E-3</v>
      </c>
      <c r="T46" s="1">
        <f t="shared" si="16"/>
        <v>-7.642283838015366E-3</v>
      </c>
      <c r="U46" s="1">
        <f t="shared" si="17"/>
        <v>-2.5492520977745234E-3</v>
      </c>
      <c r="V46">
        <v>104.822</v>
      </c>
      <c r="W46">
        <v>108.721</v>
      </c>
      <c r="X46">
        <v>104.8563</v>
      </c>
      <c r="Y46">
        <v>108.721</v>
      </c>
      <c r="Z46">
        <v>108.721</v>
      </c>
      <c r="AA46">
        <v>108.721</v>
      </c>
      <c r="AB46">
        <v>108.721</v>
      </c>
      <c r="AC46">
        <v>108.721</v>
      </c>
      <c r="AD46">
        <v>108.721</v>
      </c>
      <c r="AE46" s="6">
        <f>Tabla13[[#This Row],[Calculated HEFT_NC]]/Tabla13[[#This Row],[Real HEFT_NC]]</f>
        <v>0.95605618387449842</v>
      </c>
      <c r="AF46" s="6">
        <f>Tabla13[[#This Row],[Calculated HEFT_DNC]]/Tabla13[[#This Row],[Real HEFT_DNC]]</f>
        <v>0.99161802261948195</v>
      </c>
      <c r="AG46" s="6">
        <f>Tabla13[[#This Row],[Calculated GA_NC]]/Tabla13[[#This Row],[Real GA_NC]]</f>
        <v>0.95459374621622139</v>
      </c>
      <c r="AH46" s="6">
        <f>Tabla13[[#This Row],[Calculated GA_DNC]]/Tabla13[[#This Row],[Real GA_DNC]]</f>
        <v>0.98185410858635802</v>
      </c>
      <c r="AI46" s="6">
        <f>Tabla13[[#This Row],[Calculated HGA_(Ph2)]]/Tabla13[[#This Row],[Real HGA_(Ph2)]]</f>
        <v>0.98409727194307639</v>
      </c>
      <c r="AJ46" s="6">
        <f>Tabla13[[#This Row],[Calculated HGA_(Ph1)]]/Tabla13[[#This Row],[Real HGA_(Ph1)]]</f>
        <v>0.9877486497167699</v>
      </c>
      <c r="AK46" s="6">
        <f>Tabla13[[#This Row],[Calculated HGA^H]]/Tabla13[[#This Row],[Real GA^H]]</f>
        <v>0.98250005648058203</v>
      </c>
      <c r="AL46" s="6">
        <f>Tabla13[[#This Row],[Calculated HGA_(Ph2)^H]]/Tabla13[[#This Row],[Real HGA_(Ph2)^H]]</f>
        <v>0.98409727194307639</v>
      </c>
      <c r="AM46" s="6">
        <f>Tabla13[[#This Row],[Calculated HGA_(Ph1)^H]]/Tabla13[[#This Row],[Real HGA_(Ph1)^H]]</f>
        <v>0.98909656612339036</v>
      </c>
    </row>
    <row r="47" spans="1:39">
      <c r="A47" s="6" t="str">
        <f t="shared" si="9"/>
        <v>epigenomics</v>
      </c>
      <c r="B47" t="s">
        <v>12</v>
      </c>
      <c r="C47">
        <f>_xlfn.XLOOKUP(B47,Instances!$B$2:$B$29,Instances!$A$2:$A$29,,0,1)</f>
        <v>507</v>
      </c>
      <c r="D47">
        <v>1</v>
      </c>
      <c r="E47">
        <v>13371.4</v>
      </c>
      <c r="F47">
        <v>13371.4</v>
      </c>
      <c r="G47">
        <v>13371.4</v>
      </c>
      <c r="H47">
        <v>13371.4</v>
      </c>
      <c r="I47">
        <v>13371.4</v>
      </c>
      <c r="J47">
        <v>13371.4</v>
      </c>
      <c r="K47">
        <v>13371.4</v>
      </c>
      <c r="L47">
        <v>13371.4</v>
      </c>
      <c r="M47">
        <v>13371.4</v>
      </c>
      <c r="N47" s="7">
        <f t="shared" si="10"/>
        <v>0</v>
      </c>
      <c r="O47" s="1">
        <f t="shared" si="11"/>
        <v>0</v>
      </c>
      <c r="P47" s="1">
        <f t="shared" si="12"/>
        <v>0</v>
      </c>
      <c r="Q47" s="1">
        <f t="shared" si="13"/>
        <v>0</v>
      </c>
      <c r="R47" s="1">
        <f t="shared" si="14"/>
        <v>0</v>
      </c>
      <c r="S47" s="1">
        <f t="shared" si="15"/>
        <v>0</v>
      </c>
      <c r="T47" s="1">
        <f t="shared" si="16"/>
        <v>0</v>
      </c>
      <c r="U47" s="1">
        <f t="shared" si="17"/>
        <v>0</v>
      </c>
      <c r="V47">
        <v>13218.4</v>
      </c>
      <c r="W47">
        <v>13370.7</v>
      </c>
      <c r="X47">
        <v>13218.4</v>
      </c>
      <c r="Y47">
        <v>13370.7</v>
      </c>
      <c r="Z47">
        <v>13370.7</v>
      </c>
      <c r="AA47">
        <v>13370.7</v>
      </c>
      <c r="AB47">
        <v>13370.7</v>
      </c>
      <c r="AC47">
        <v>13370.7</v>
      </c>
      <c r="AD47">
        <v>13370.7</v>
      </c>
      <c r="AE47" s="6">
        <f>Tabla13[[#This Row],[Calculated HEFT_NC]]/Tabla13[[#This Row],[Real HEFT_NC]]</f>
        <v>0.9885576678582646</v>
      </c>
      <c r="AF47" s="6">
        <f>Tabla13[[#This Row],[Calculated HEFT_DNC]]/Tabla13[[#This Row],[Real HEFT_DNC]]</f>
        <v>0.99994764946078951</v>
      </c>
      <c r="AG47" s="6">
        <f>Tabla13[[#This Row],[Calculated GA_NC]]/Tabla13[[#This Row],[Real GA_NC]]</f>
        <v>0.9885576678582646</v>
      </c>
      <c r="AH47" s="6">
        <f>Tabla13[[#This Row],[Calculated GA_DNC]]/Tabla13[[#This Row],[Real GA_DNC]]</f>
        <v>0.99994764946078951</v>
      </c>
      <c r="AI47" s="6">
        <f>Tabla13[[#This Row],[Calculated HGA_(Ph2)]]/Tabla13[[#This Row],[Real HGA_(Ph2)]]</f>
        <v>0.99994764946078951</v>
      </c>
      <c r="AJ47" s="6">
        <f>Tabla13[[#This Row],[Calculated HGA_(Ph1)]]/Tabla13[[#This Row],[Real HGA_(Ph1)]]</f>
        <v>0.99994764946078951</v>
      </c>
      <c r="AK47" s="6">
        <f>Tabla13[[#This Row],[Calculated HGA^H]]/Tabla13[[#This Row],[Real GA^H]]</f>
        <v>0.99994764946078951</v>
      </c>
      <c r="AL47" s="6">
        <f>Tabla13[[#This Row],[Calculated HGA_(Ph2)^H]]/Tabla13[[#This Row],[Real HGA_(Ph2)^H]]</f>
        <v>0.99994764946078951</v>
      </c>
      <c r="AM47" s="6">
        <f>Tabla13[[#This Row],[Calculated HGA_(Ph1)^H]]/Tabla13[[#This Row],[Real HGA_(Ph1)^H]]</f>
        <v>0.99994764946078951</v>
      </c>
    </row>
    <row r="48" spans="1:39">
      <c r="A48" s="6" t="str">
        <f t="shared" si="9"/>
        <v>epigenomics</v>
      </c>
      <c r="B48" t="s">
        <v>12</v>
      </c>
      <c r="C48">
        <f>_xlfn.XLOOKUP(B48,Instances!$B$2:$B$29,Instances!$A$2:$A$29,,0,1)</f>
        <v>507</v>
      </c>
      <c r="D48">
        <v>2</v>
      </c>
      <c r="E48">
        <v>6735.67</v>
      </c>
      <c r="F48">
        <v>6734.3900000000012</v>
      </c>
      <c r="G48">
        <v>6734.6039999999994</v>
      </c>
      <c r="H48">
        <v>6733.0729999999994</v>
      </c>
      <c r="I48">
        <v>6732.3280000000004</v>
      </c>
      <c r="J48">
        <v>7021.6650000000009</v>
      </c>
      <c r="K48">
        <v>6733.759</v>
      </c>
      <c r="L48">
        <v>6732.5820000000003</v>
      </c>
      <c r="M48">
        <v>6733.7449999999999</v>
      </c>
      <c r="N48" s="7">
        <f t="shared" si="10"/>
        <v>1.9003306278348491E-4</v>
      </c>
      <c r="O48" s="1">
        <f t="shared" si="11"/>
        <v>1.5826191009962084E-4</v>
      </c>
      <c r="P48" s="1">
        <f t="shared" si="12"/>
        <v>3.8555926878850388E-4</v>
      </c>
      <c r="Q48" s="1">
        <f t="shared" si="13"/>
        <v>4.9616444986165346E-4</v>
      </c>
      <c r="R48" s="1">
        <f t="shared" si="14"/>
        <v>-4.2459770149072151E-2</v>
      </c>
      <c r="S48" s="1">
        <f t="shared" si="15"/>
        <v>2.8371342420279767E-4</v>
      </c>
      <c r="T48" s="1">
        <f t="shared" si="16"/>
        <v>4.5845476396553543E-4</v>
      </c>
      <c r="U48" s="1">
        <f t="shared" si="17"/>
        <v>2.8579191082701231E-4</v>
      </c>
      <c r="V48">
        <v>6644.5399999999991</v>
      </c>
      <c r="W48">
        <v>6723.01</v>
      </c>
      <c r="X48">
        <v>6644.1639999999989</v>
      </c>
      <c r="Y48">
        <v>6722.9410000000007</v>
      </c>
      <c r="Z48">
        <v>6722.44</v>
      </c>
      <c r="AA48">
        <v>7011.3530000000001</v>
      </c>
      <c r="AB48">
        <v>6722.44</v>
      </c>
      <c r="AC48">
        <v>6722.44</v>
      </c>
      <c r="AD48">
        <v>6722.4610000000002</v>
      </c>
      <c r="AE48" s="6">
        <f>Tabla13[[#This Row],[Calculated HEFT_NC]]/Tabla13[[#This Row],[Real HEFT_NC]]</f>
        <v>0.98647053670978524</v>
      </c>
      <c r="AF48" s="6">
        <f>Tabla13[[#This Row],[Calculated HEFT_DNC]]/Tabla13[[#This Row],[Real HEFT_DNC]]</f>
        <v>0.99831016617689194</v>
      </c>
      <c r="AG48" s="6">
        <f>Tabla13[[#This Row],[Calculated GA_NC]]/Tabla13[[#This Row],[Real GA_NC]]</f>
        <v>0.98657085108493381</v>
      </c>
      <c r="AH48" s="6">
        <f>Tabla13[[#This Row],[Calculated GA_DNC]]/Tabla13[[#This Row],[Real GA_DNC]]</f>
        <v>0.99849518934370696</v>
      </c>
      <c r="AI48" s="6">
        <f>Tabla13[[#This Row],[Calculated HGA_(Ph2)]]/Tabla13[[#This Row],[Real HGA_(Ph2)]]</f>
        <v>0.99853126585632779</v>
      </c>
      <c r="AJ48" s="6">
        <f>Tabla13[[#This Row],[Calculated HGA_(Ph1)]]/Tabla13[[#This Row],[Real HGA_(Ph1)]]</f>
        <v>0.99853140245226724</v>
      </c>
      <c r="AK48" s="6">
        <f>Tabla13[[#This Row],[Calculated HGA^H]]/Tabla13[[#This Row],[Real GA^H]]</f>
        <v>0.9983190666609838</v>
      </c>
      <c r="AL48" s="6">
        <f>Tabla13[[#This Row],[Calculated HGA_(Ph2)^H]]/Tabla13[[#This Row],[Real HGA_(Ph2)^H]]</f>
        <v>0.99849359428522355</v>
      </c>
      <c r="AM48" s="6">
        <f>Tabla13[[#This Row],[Calculated HGA_(Ph1)^H]]/Tabla13[[#This Row],[Real HGA_(Ph1)^H]]</f>
        <v>0.99832426086820936</v>
      </c>
    </row>
    <row r="49" spans="1:39">
      <c r="A49" s="6" t="str">
        <f t="shared" si="9"/>
        <v>epigenomics</v>
      </c>
      <c r="B49" t="s">
        <v>12</v>
      </c>
      <c r="C49">
        <f>_xlfn.XLOOKUP(B49,Instances!$B$2:$B$29,Instances!$A$2:$A$29,,0,1)</f>
        <v>507</v>
      </c>
      <c r="D49">
        <v>4</v>
      </c>
      <c r="E49">
        <v>3576.85</v>
      </c>
      <c r="F49">
        <v>3574.86</v>
      </c>
      <c r="G49">
        <v>3488.0219999999999</v>
      </c>
      <c r="H49">
        <v>3536.090999999999</v>
      </c>
      <c r="I49">
        <v>3406.3629999999998</v>
      </c>
      <c r="J49">
        <v>4234.1079999999993</v>
      </c>
      <c r="K49">
        <v>3524.6320000000001</v>
      </c>
      <c r="L49">
        <v>3406.5050000000001</v>
      </c>
      <c r="M49">
        <v>3574.8290000000002</v>
      </c>
      <c r="N49" s="7">
        <f t="shared" si="10"/>
        <v>5.5635545242316059E-4</v>
      </c>
      <c r="O49" s="1">
        <f t="shared" si="11"/>
        <v>2.4834141772788899E-2</v>
      </c>
      <c r="P49" s="1">
        <f t="shared" si="12"/>
        <v>1.139522205292392E-2</v>
      </c>
      <c r="Q49" s="1">
        <f t="shared" si="13"/>
        <v>4.7664006038833077E-2</v>
      </c>
      <c r="R49" s="1">
        <f t="shared" si="14"/>
        <v>-0.18375330248682484</v>
      </c>
      <c r="S49" s="1">
        <f t="shared" si="15"/>
        <v>1.4598878901826984E-2</v>
      </c>
      <c r="T49" s="1">
        <f t="shared" si="16"/>
        <v>4.7624306303031945E-2</v>
      </c>
      <c r="U49" s="1">
        <f t="shared" si="17"/>
        <v>5.650222961543623E-4</v>
      </c>
      <c r="V49">
        <v>3525.11</v>
      </c>
      <c r="W49">
        <v>3566.33</v>
      </c>
      <c r="X49">
        <v>3437.2310000000002</v>
      </c>
      <c r="Y49">
        <v>3528.3110000000001</v>
      </c>
      <c r="Z49">
        <v>3398.34</v>
      </c>
      <c r="AA49">
        <v>4225.9920000000002</v>
      </c>
      <c r="AB49">
        <v>3516.462</v>
      </c>
      <c r="AC49">
        <v>3398.331000000001</v>
      </c>
      <c r="AD49">
        <v>3566.33</v>
      </c>
      <c r="AE49" s="6">
        <f>Tabla13[[#This Row],[Calculated HEFT_NC]]/Tabla13[[#This Row],[Real HEFT_NC]]</f>
        <v>0.98553475823699632</v>
      </c>
      <c r="AF49" s="6">
        <f>Tabla13[[#This Row],[Calculated HEFT_DNC]]/Tabla13[[#This Row],[Real HEFT_DNC]]</f>
        <v>0.99761389257201671</v>
      </c>
      <c r="AG49" s="6">
        <f>Tabla13[[#This Row],[Calculated GA_NC]]/Tabla13[[#This Row],[Real GA_NC]]</f>
        <v>0.9854384519363697</v>
      </c>
      <c r="AH49" s="6">
        <f>Tabla13[[#This Row],[Calculated GA_DNC]]/Tabla13[[#This Row],[Real GA_DNC]]</f>
        <v>0.99779983037766873</v>
      </c>
      <c r="AI49" s="6">
        <f>Tabla13[[#This Row],[Calculated HGA_(Ph2)]]/Tabla13[[#This Row],[Real HGA_(Ph2)]]</f>
        <v>0.997644701988602</v>
      </c>
      <c r="AJ49" s="6">
        <f>Tabla13[[#This Row],[Calculated HGA_(Ph1)]]/Tabla13[[#This Row],[Real HGA_(Ph1)]]</f>
        <v>0.99808318540764684</v>
      </c>
      <c r="AK49" s="6">
        <f>Tabla13[[#This Row],[Calculated HGA^H]]/Tabla13[[#This Row],[Real GA^H]]</f>
        <v>0.99768202751379431</v>
      </c>
      <c r="AL49" s="6">
        <f>Tabla13[[#This Row],[Calculated HGA_(Ph2)^H]]/Tabla13[[#This Row],[Real HGA_(Ph2)^H]]</f>
        <v>0.99760047321228085</v>
      </c>
      <c r="AM49" s="6">
        <f>Tabla13[[#This Row],[Calculated HGA_(Ph1)^H]]/Tabla13[[#This Row],[Real HGA_(Ph1)^H]]</f>
        <v>0.9976225436237649</v>
      </c>
    </row>
    <row r="50" spans="1:39">
      <c r="A50" s="6" t="str">
        <f t="shared" si="9"/>
        <v>epigenomics</v>
      </c>
      <c r="B50" t="s">
        <v>12</v>
      </c>
      <c r="C50">
        <f>_xlfn.XLOOKUP(B50,Instances!$B$2:$B$29,Instances!$A$2:$A$29,,0,1)</f>
        <v>507</v>
      </c>
      <c r="D50">
        <v>8</v>
      </c>
      <c r="E50">
        <v>2045.15</v>
      </c>
      <c r="F50">
        <v>2045.5</v>
      </c>
      <c r="G50">
        <v>1967.9659999999999</v>
      </c>
      <c r="H50">
        <v>1994.106</v>
      </c>
      <c r="I50">
        <v>1752.423</v>
      </c>
      <c r="J50">
        <v>2763.7919999999999</v>
      </c>
      <c r="K50">
        <v>2006.3630000000001</v>
      </c>
      <c r="L50">
        <v>1751.9860000000001</v>
      </c>
      <c r="M50">
        <v>2045.5</v>
      </c>
      <c r="N50" s="7">
        <f t="shared" si="10"/>
        <v>-1.7113659144801557E-4</v>
      </c>
      <c r="O50" s="1">
        <f t="shared" si="11"/>
        <v>3.7740019069505998E-2</v>
      </c>
      <c r="P50" s="1">
        <f t="shared" si="12"/>
        <v>2.4958560496785125E-2</v>
      </c>
      <c r="Q50" s="1">
        <f t="shared" si="13"/>
        <v>0.14313228858518939</v>
      </c>
      <c r="R50" s="1">
        <f t="shared" si="14"/>
        <v>-0.35138840671833349</v>
      </c>
      <c r="S50" s="1">
        <f t="shared" si="15"/>
        <v>1.8965357064274029E-2</v>
      </c>
      <c r="T50" s="1">
        <f t="shared" si="16"/>
        <v>0.1433459648436545</v>
      </c>
      <c r="U50" s="1">
        <f t="shared" si="17"/>
        <v>-1.7113659144801557E-4</v>
      </c>
      <c r="V50">
        <v>2011.4</v>
      </c>
      <c r="W50">
        <v>2040.15</v>
      </c>
      <c r="X50">
        <v>1938.145</v>
      </c>
      <c r="Y50">
        <v>1989.085</v>
      </c>
      <c r="Z50">
        <v>1746.9159999999999</v>
      </c>
      <c r="AA50">
        <v>2757.7750000000001</v>
      </c>
      <c r="AB50">
        <v>2001.078</v>
      </c>
      <c r="AC50">
        <v>1745.84</v>
      </c>
      <c r="AD50">
        <v>2040.15</v>
      </c>
      <c r="AE50" s="6">
        <f>Tabla13[[#This Row],[Calculated HEFT_NC]]/Tabla13[[#This Row],[Real HEFT_NC]]</f>
        <v>0.98349754296750846</v>
      </c>
      <c r="AF50" s="6">
        <f>Tabla13[[#This Row],[Calculated HEFT_DNC]]/Tabla13[[#This Row],[Real HEFT_DNC]]</f>
        <v>0.99738450256660971</v>
      </c>
      <c r="AG50" s="6">
        <f>Tabla13[[#This Row],[Calculated GA_NC]]/Tabla13[[#This Row],[Real GA_NC]]</f>
        <v>0.98484679105228445</v>
      </c>
      <c r="AH50" s="6">
        <f>Tabla13[[#This Row],[Calculated GA_DNC]]/Tabla13[[#This Row],[Real GA_DNC]]</f>
        <v>0.99748207968884306</v>
      </c>
      <c r="AI50" s="6">
        <f>Tabla13[[#This Row],[Calculated HGA_(Ph2)]]/Tabla13[[#This Row],[Real HGA_(Ph2)]]</f>
        <v>0.99685749388132883</v>
      </c>
      <c r="AJ50" s="6">
        <f>Tabla13[[#This Row],[Calculated HGA_(Ph1)]]/Tabla13[[#This Row],[Real HGA_(Ph1)]]</f>
        <v>0.99782291865668626</v>
      </c>
      <c r="AK50" s="6">
        <f>Tabla13[[#This Row],[Calculated HGA^H]]/Tabla13[[#This Row],[Real GA^H]]</f>
        <v>0.997365880451344</v>
      </c>
      <c r="AL50" s="6">
        <f>Tabla13[[#This Row],[Calculated HGA_(Ph2)^H]]/Tabla13[[#This Row],[Real HGA_(Ph2)^H]]</f>
        <v>0.99649198110030546</v>
      </c>
      <c r="AM50" s="6">
        <f>Tabla13[[#This Row],[Calculated HGA_(Ph1)^H]]/Tabla13[[#This Row],[Real HGA_(Ph1)^H]]</f>
        <v>0.99738450256660971</v>
      </c>
    </row>
    <row r="51" spans="1:39">
      <c r="A51" s="6" t="str">
        <f t="shared" si="9"/>
        <v>epigenomics</v>
      </c>
      <c r="B51" t="s">
        <v>12</v>
      </c>
      <c r="C51">
        <f>_xlfn.XLOOKUP(B51,Instances!$B$2:$B$29,Instances!$A$2:$A$29,,0,1)</f>
        <v>507</v>
      </c>
      <c r="D51">
        <v>16</v>
      </c>
      <c r="E51">
        <v>1283.18</v>
      </c>
      <c r="F51">
        <v>1283.97</v>
      </c>
      <c r="G51">
        <v>1236.845</v>
      </c>
      <c r="H51">
        <v>1229.748</v>
      </c>
      <c r="I51">
        <v>948.72569999999996</v>
      </c>
      <c r="J51">
        <v>1872.0450000000001</v>
      </c>
      <c r="K51">
        <v>1258.3130000000001</v>
      </c>
      <c r="L51">
        <v>951.2095999999998</v>
      </c>
      <c r="M51">
        <v>1283.97</v>
      </c>
      <c r="N51" s="7">
        <f t="shared" si="10"/>
        <v>-6.1565797471902894E-4</v>
      </c>
      <c r="O51" s="1">
        <f t="shared" si="11"/>
        <v>3.6109509188110817E-2</v>
      </c>
      <c r="P51" s="1">
        <f t="shared" si="12"/>
        <v>4.1640299879985673E-2</v>
      </c>
      <c r="Q51" s="1">
        <f t="shared" si="13"/>
        <v>0.26064488224567101</v>
      </c>
      <c r="R51" s="1">
        <f t="shared" si="14"/>
        <v>-0.45891067504169325</v>
      </c>
      <c r="S51" s="1">
        <f t="shared" si="15"/>
        <v>1.9379198553593387E-2</v>
      </c>
      <c r="T51" s="1">
        <f t="shared" si="16"/>
        <v>0.25870914446920951</v>
      </c>
      <c r="U51" s="1">
        <f t="shared" si="17"/>
        <v>-6.1565797471902894E-4</v>
      </c>
      <c r="V51">
        <v>1260.33</v>
      </c>
      <c r="W51">
        <v>1278.95</v>
      </c>
      <c r="X51">
        <v>1214.5309999999999</v>
      </c>
      <c r="Y51">
        <v>1225.729</v>
      </c>
      <c r="Z51">
        <v>944.81359999999984</v>
      </c>
      <c r="AA51">
        <v>1866.9</v>
      </c>
      <c r="AB51">
        <v>1253.7090000000001</v>
      </c>
      <c r="AC51">
        <v>946.68349999999987</v>
      </c>
      <c r="AD51">
        <v>1278.95</v>
      </c>
      <c r="AE51" s="6">
        <f>Tabla13[[#This Row],[Calculated HEFT_NC]]/Tabla13[[#This Row],[Real HEFT_NC]]</f>
        <v>0.98219267756667017</v>
      </c>
      <c r="AF51" s="6">
        <f>Tabla13[[#This Row],[Calculated HEFT_DNC]]/Tabla13[[#This Row],[Real HEFT_DNC]]</f>
        <v>0.99609025132985973</v>
      </c>
      <c r="AG51" s="6">
        <f>Tabla13[[#This Row],[Calculated GA_NC]]/Tabla13[[#This Row],[Real GA_NC]]</f>
        <v>0.98195893584078842</v>
      </c>
      <c r="AH51" s="6">
        <f>Tabla13[[#This Row],[Calculated GA_DNC]]/Tabla13[[#This Row],[Real GA_DNC]]</f>
        <v>0.9967318507531624</v>
      </c>
      <c r="AI51" s="6">
        <f>Tabla13[[#This Row],[Calculated HGA_(Ph2)]]/Tabla13[[#This Row],[Real HGA_(Ph2)]]</f>
        <v>0.99587646882549918</v>
      </c>
      <c r="AJ51" s="6">
        <f>Tabla13[[#This Row],[Calculated HGA_(Ph1)]]/Tabla13[[#This Row],[Real HGA_(Ph1)]]</f>
        <v>0.99725166862976056</v>
      </c>
      <c r="AK51" s="6">
        <f>Tabla13[[#This Row],[Calculated HGA^H]]/Tabla13[[#This Row],[Real GA^H]]</f>
        <v>0.99634113292956517</v>
      </c>
      <c r="AL51" s="6">
        <f>Tabla13[[#This Row],[Calculated HGA_(Ph2)^H]]/Tabla13[[#This Row],[Real HGA_(Ph2)^H]]</f>
        <v>0.9952417427242114</v>
      </c>
      <c r="AM51" s="6">
        <f>Tabla13[[#This Row],[Calculated HGA_(Ph1)^H]]/Tabla13[[#This Row],[Real HGA_(Ph1)^H]]</f>
        <v>0.99609025132985973</v>
      </c>
    </row>
    <row r="52" spans="1:39">
      <c r="A52" s="6" t="str">
        <f t="shared" si="9"/>
        <v>epigenomics</v>
      </c>
      <c r="B52" t="s">
        <v>11</v>
      </c>
      <c r="C52">
        <f>_xlfn.XLOOKUP(B52,Instances!$B$2:$B$29,Instances!$A$2:$A$29,,0,1)</f>
        <v>125</v>
      </c>
      <c r="D52">
        <v>1</v>
      </c>
      <c r="E52">
        <v>2618.63</v>
      </c>
      <c r="F52">
        <v>2618.63</v>
      </c>
      <c r="G52">
        <v>2618.63</v>
      </c>
      <c r="H52">
        <v>2618.63</v>
      </c>
      <c r="I52">
        <v>2618.63</v>
      </c>
      <c r="J52">
        <v>2618.63</v>
      </c>
      <c r="K52">
        <v>2618.63</v>
      </c>
      <c r="L52">
        <v>2618.63</v>
      </c>
      <c r="M52">
        <v>2618.63</v>
      </c>
      <c r="N52" s="7">
        <f t="shared" si="10"/>
        <v>0</v>
      </c>
      <c r="O52" s="1">
        <f t="shared" si="11"/>
        <v>0</v>
      </c>
      <c r="P52" s="1">
        <f t="shared" si="12"/>
        <v>0</v>
      </c>
      <c r="Q52" s="1">
        <f t="shared" si="13"/>
        <v>0</v>
      </c>
      <c r="R52" s="1">
        <f t="shared" si="14"/>
        <v>0</v>
      </c>
      <c r="S52" s="1">
        <f t="shared" si="15"/>
        <v>0</v>
      </c>
      <c r="T52" s="1">
        <f t="shared" si="16"/>
        <v>0</v>
      </c>
      <c r="U52" s="1">
        <f t="shared" si="17"/>
        <v>0</v>
      </c>
      <c r="V52">
        <v>2578.349999999999</v>
      </c>
      <c r="W52">
        <v>2618.44</v>
      </c>
      <c r="X52">
        <v>2578.34</v>
      </c>
      <c r="Y52">
        <v>2618.44</v>
      </c>
      <c r="Z52">
        <v>2618.44</v>
      </c>
      <c r="AA52">
        <v>2618.44</v>
      </c>
      <c r="AB52">
        <v>2618.44</v>
      </c>
      <c r="AC52">
        <v>2618.44</v>
      </c>
      <c r="AD52">
        <v>2618.44</v>
      </c>
      <c r="AE52" s="6">
        <f>Tabla13[[#This Row],[Calculated HEFT_NC]]/Tabla13[[#This Row],[Real HEFT_NC]]</f>
        <v>0.98461791089233641</v>
      </c>
      <c r="AF52" s="6">
        <f>Tabla13[[#This Row],[Calculated HEFT_DNC]]/Tabla13[[#This Row],[Real HEFT_DNC]]</f>
        <v>0.99992744297590719</v>
      </c>
      <c r="AG52" s="6">
        <f>Tabla13[[#This Row],[Calculated GA_NC]]/Tabla13[[#This Row],[Real GA_NC]]</f>
        <v>0.98461409210159512</v>
      </c>
      <c r="AH52" s="6">
        <f>Tabla13[[#This Row],[Calculated GA_DNC]]/Tabla13[[#This Row],[Real GA_DNC]]</f>
        <v>0.99992744297590719</v>
      </c>
      <c r="AI52" s="6">
        <f>Tabla13[[#This Row],[Calculated HGA_(Ph2)]]/Tabla13[[#This Row],[Real HGA_(Ph2)]]</f>
        <v>0.99992744297590719</v>
      </c>
      <c r="AJ52" s="6">
        <f>Tabla13[[#This Row],[Calculated HGA_(Ph1)]]/Tabla13[[#This Row],[Real HGA_(Ph1)]]</f>
        <v>0.99992744297590719</v>
      </c>
      <c r="AK52" s="6">
        <f>Tabla13[[#This Row],[Calculated HGA^H]]/Tabla13[[#This Row],[Real GA^H]]</f>
        <v>0.99992744297590719</v>
      </c>
      <c r="AL52" s="6">
        <f>Tabla13[[#This Row],[Calculated HGA_(Ph2)^H]]/Tabla13[[#This Row],[Real HGA_(Ph2)^H]]</f>
        <v>0.99992744297590719</v>
      </c>
      <c r="AM52" s="6">
        <f>Tabla13[[#This Row],[Calculated HGA_(Ph1)^H]]/Tabla13[[#This Row],[Real HGA_(Ph1)^H]]</f>
        <v>0.99992744297590719</v>
      </c>
    </row>
    <row r="53" spans="1:39">
      <c r="A53" s="6" t="str">
        <f t="shared" si="9"/>
        <v>epigenomics</v>
      </c>
      <c r="B53" t="s">
        <v>11</v>
      </c>
      <c r="C53">
        <f>_xlfn.XLOOKUP(B53,Instances!$B$2:$B$29,Instances!$A$2:$A$29,,0,1)</f>
        <v>125</v>
      </c>
      <c r="D53">
        <v>2</v>
      </c>
      <c r="E53">
        <v>1359.85</v>
      </c>
      <c r="F53">
        <v>1360.77</v>
      </c>
      <c r="G53">
        <v>1339.873</v>
      </c>
      <c r="H53">
        <v>1340.0630000000001</v>
      </c>
      <c r="I53">
        <v>1339.8510000000001</v>
      </c>
      <c r="J53">
        <v>1343.2349999999999</v>
      </c>
      <c r="K53">
        <v>1340.028</v>
      </c>
      <c r="L53">
        <v>1339.732</v>
      </c>
      <c r="M53">
        <v>1341.03</v>
      </c>
      <c r="N53" s="7">
        <f t="shared" si="10"/>
        <v>-6.7654520719202327E-4</v>
      </c>
      <c r="O53" s="1">
        <f t="shared" si="11"/>
        <v>1.4690590873993355E-2</v>
      </c>
      <c r="P53" s="1">
        <f t="shared" si="12"/>
        <v>1.4550869581203668E-2</v>
      </c>
      <c r="Q53" s="1">
        <f t="shared" si="13"/>
        <v>1.4706769128947897E-2</v>
      </c>
      <c r="R53" s="1">
        <f t="shared" si="14"/>
        <v>1.2218259366841939E-2</v>
      </c>
      <c r="S53" s="1">
        <f t="shared" si="15"/>
        <v>1.4576607714086032E-2</v>
      </c>
      <c r="T53" s="1">
        <f t="shared" si="16"/>
        <v>1.4794278780747832E-2</v>
      </c>
      <c r="U53" s="1">
        <f t="shared" si="17"/>
        <v>1.3839761738426987E-2</v>
      </c>
      <c r="V53">
        <v>1331.93</v>
      </c>
      <c r="W53">
        <v>1357.29</v>
      </c>
      <c r="X53">
        <v>1311.6</v>
      </c>
      <c r="Y53">
        <v>1336.72</v>
      </c>
      <c r="Z53">
        <v>1336.72</v>
      </c>
      <c r="AA53">
        <v>1340.434</v>
      </c>
      <c r="AB53">
        <v>1336.72</v>
      </c>
      <c r="AC53">
        <v>1336.72</v>
      </c>
      <c r="AD53">
        <v>1338.2940000000001</v>
      </c>
      <c r="AE53" s="6">
        <f>Tabla13[[#This Row],[Calculated HEFT_NC]]/Tabla13[[#This Row],[Real HEFT_NC]]</f>
        <v>0.97946832371217429</v>
      </c>
      <c r="AF53" s="6">
        <f>Tabla13[[#This Row],[Calculated HEFT_DNC]]/Tabla13[[#This Row],[Real HEFT_DNC]]</f>
        <v>0.99744262439648135</v>
      </c>
      <c r="AG53" s="6">
        <f>Tabla13[[#This Row],[Calculated GA_NC]]/Tabla13[[#This Row],[Real GA_NC]]</f>
        <v>0.97889874637372343</v>
      </c>
      <c r="AH53" s="6">
        <f>Tabla13[[#This Row],[Calculated GA_DNC]]/Tabla13[[#This Row],[Real GA_DNC]]</f>
        <v>0.99750534116679579</v>
      </c>
      <c r="AI53" s="6">
        <f>Tabla13[[#This Row],[Calculated HGA_(Ph2)]]/Tabla13[[#This Row],[Real HGA_(Ph2)]]</f>
        <v>0.99766317299460905</v>
      </c>
      <c r="AJ53" s="6">
        <f>Tabla13[[#This Row],[Calculated HGA_(Ph1)]]/Tabla13[[#This Row],[Real HGA_(Ph1)]]</f>
        <v>0.99791473569405209</v>
      </c>
      <c r="AK53" s="6">
        <f>Tabla13[[#This Row],[Calculated HGA^H]]/Tabla13[[#This Row],[Real GA^H]]</f>
        <v>0.99753139486637599</v>
      </c>
      <c r="AL53" s="6">
        <f>Tabla13[[#This Row],[Calculated HGA_(Ph2)^H]]/Tabla13[[#This Row],[Real HGA_(Ph2)^H]]</f>
        <v>0.99775178916380292</v>
      </c>
      <c r="AM53" s="6">
        <f>Tabla13[[#This Row],[Calculated HGA_(Ph1)^H]]/Tabla13[[#This Row],[Real HGA_(Ph1)^H]]</f>
        <v>0.99795977718619278</v>
      </c>
    </row>
    <row r="54" spans="1:39">
      <c r="A54" s="6" t="str">
        <f t="shared" si="9"/>
        <v>epigenomics</v>
      </c>
      <c r="B54" t="s">
        <v>11</v>
      </c>
      <c r="C54">
        <f>_xlfn.XLOOKUP(B54,Instances!$B$2:$B$29,Instances!$A$2:$A$29,,0,1)</f>
        <v>125</v>
      </c>
      <c r="D54">
        <v>4</v>
      </c>
      <c r="E54">
        <v>724.50800000000004</v>
      </c>
      <c r="F54">
        <v>724.42899999999997</v>
      </c>
      <c r="G54">
        <v>699.30660000000012</v>
      </c>
      <c r="H54">
        <v>699.05719999999997</v>
      </c>
      <c r="I54">
        <v>698.6656999999999</v>
      </c>
      <c r="J54">
        <v>767.23659999999995</v>
      </c>
      <c r="K54">
        <v>699.65949999999998</v>
      </c>
      <c r="L54">
        <v>698.67620000000011</v>
      </c>
      <c r="M54">
        <v>721.38750000000005</v>
      </c>
      <c r="N54" s="7">
        <f t="shared" si="10"/>
        <v>1.0903951371146291E-4</v>
      </c>
      <c r="O54" s="1">
        <f t="shared" si="11"/>
        <v>3.4784156972731732E-2</v>
      </c>
      <c r="P54" s="1">
        <f t="shared" si="12"/>
        <v>3.5128390576777718E-2</v>
      </c>
      <c r="Q54" s="1">
        <f t="shared" si="13"/>
        <v>3.5668757280803161E-2</v>
      </c>
      <c r="R54" s="1">
        <f t="shared" si="14"/>
        <v>-5.8976022348959448E-2</v>
      </c>
      <c r="S54" s="1">
        <f t="shared" si="15"/>
        <v>3.4297067803254151E-2</v>
      </c>
      <c r="T54" s="1">
        <f t="shared" si="16"/>
        <v>3.5654264687208323E-2</v>
      </c>
      <c r="U54" s="1">
        <f t="shared" si="17"/>
        <v>4.3070607915992546E-3</v>
      </c>
      <c r="V54">
        <v>704.96500000000003</v>
      </c>
      <c r="W54">
        <v>722.35199999999998</v>
      </c>
      <c r="X54">
        <v>678.52369999999996</v>
      </c>
      <c r="Y54">
        <v>696.15370000000007</v>
      </c>
      <c r="Z54">
        <v>695.86509999999998</v>
      </c>
      <c r="AA54">
        <v>764.21879999999999</v>
      </c>
      <c r="AB54">
        <v>696.55899999999997</v>
      </c>
      <c r="AC54">
        <v>695.86750000000006</v>
      </c>
      <c r="AD54">
        <v>719.03179999999998</v>
      </c>
      <c r="AE54" s="6">
        <f>Tabla13[[#This Row],[Calculated HEFT_NC]]/Tabla13[[#This Row],[Real HEFT_NC]]</f>
        <v>0.97302583270302057</v>
      </c>
      <c r="AF54" s="6">
        <f>Tabla13[[#This Row],[Calculated HEFT_DNC]]/Tabla13[[#This Row],[Real HEFT_DNC]]</f>
        <v>0.99713291433667073</v>
      </c>
      <c r="AG54" s="6">
        <f>Tabla13[[#This Row],[Calculated GA_NC]]/Tabla13[[#This Row],[Real GA_NC]]</f>
        <v>0.97028070377142139</v>
      </c>
      <c r="AH54" s="6">
        <f>Tabla13[[#This Row],[Calculated GA_DNC]]/Tabla13[[#This Row],[Real GA_DNC]]</f>
        <v>0.99584654875166168</v>
      </c>
      <c r="AI54" s="6">
        <f>Tabla13[[#This Row],[Calculated HGA_(Ph2)]]/Tabla13[[#This Row],[Real HGA_(Ph2)]]</f>
        <v>0.99599150208747911</v>
      </c>
      <c r="AJ54" s="6">
        <f>Tabla13[[#This Row],[Calculated HGA_(Ph1)]]/Tabla13[[#This Row],[Real HGA_(Ph1)]]</f>
        <v>0.9960666631388545</v>
      </c>
      <c r="AK54" s="6">
        <f>Tabla13[[#This Row],[Calculated HGA^H]]/Tabla13[[#This Row],[Real GA^H]]</f>
        <v>0.99556855870605632</v>
      </c>
      <c r="AL54" s="6">
        <f>Tabla13[[#This Row],[Calculated HGA_(Ph2)^H]]/Tabla13[[#This Row],[Real HGA_(Ph2)^H]]</f>
        <v>0.99597996897561414</v>
      </c>
      <c r="AM54" s="6">
        <f>Tabla13[[#This Row],[Calculated HGA_(Ph1)^H]]/Tabla13[[#This Row],[Real HGA_(Ph1)^H]]</f>
        <v>0.99673448735942882</v>
      </c>
    </row>
    <row r="55" spans="1:39">
      <c r="A55" s="6" t="str">
        <f t="shared" si="9"/>
        <v>epigenomics</v>
      </c>
      <c r="B55" t="s">
        <v>11</v>
      </c>
      <c r="C55">
        <f>_xlfn.XLOOKUP(B55,Instances!$B$2:$B$29,Instances!$A$2:$A$29,,0,1)</f>
        <v>125</v>
      </c>
      <c r="D55">
        <v>8</v>
      </c>
      <c r="E55">
        <v>408.60199999999998</v>
      </c>
      <c r="F55">
        <v>408.154</v>
      </c>
      <c r="G55">
        <v>382.9554</v>
      </c>
      <c r="H55">
        <v>383.94929999999988</v>
      </c>
      <c r="I55">
        <v>378.92129999999997</v>
      </c>
      <c r="J55">
        <v>470.97649999999999</v>
      </c>
      <c r="K55">
        <v>379.72050000000002</v>
      </c>
      <c r="L55">
        <v>378.69920000000002</v>
      </c>
      <c r="M55">
        <v>403.2996</v>
      </c>
      <c r="N55" s="7">
        <f t="shared" si="10"/>
        <v>1.096421456576275E-3</v>
      </c>
      <c r="O55" s="1">
        <f t="shared" si="11"/>
        <v>6.276670207194282E-2</v>
      </c>
      <c r="P55" s="1">
        <f t="shared" si="12"/>
        <v>6.0334261702096652E-2</v>
      </c>
      <c r="Q55" s="1">
        <f t="shared" si="13"/>
        <v>7.2639634656707516E-2</v>
      </c>
      <c r="R55" s="1">
        <f t="shared" si="14"/>
        <v>-0.15265343781968765</v>
      </c>
      <c r="S55" s="1">
        <f t="shared" si="15"/>
        <v>7.0683697093993567E-2</v>
      </c>
      <c r="T55" s="1">
        <f t="shared" si="16"/>
        <v>7.3183195383282412E-2</v>
      </c>
      <c r="U55" s="1">
        <f t="shared" si="17"/>
        <v>1.2976931096764033E-2</v>
      </c>
      <c r="V55">
        <v>391.411</v>
      </c>
      <c r="W55">
        <v>405.755</v>
      </c>
      <c r="X55">
        <v>366.28120000000001</v>
      </c>
      <c r="Y55">
        <v>381.1397</v>
      </c>
      <c r="Z55">
        <v>375.78640000000001</v>
      </c>
      <c r="AA55">
        <v>467.84939999999989</v>
      </c>
      <c r="AB55">
        <v>376.6524</v>
      </c>
      <c r="AC55">
        <v>375.65010000000001</v>
      </c>
      <c r="AD55">
        <v>400.09829999999999</v>
      </c>
      <c r="AE55" s="6">
        <f>Tabla13[[#This Row],[Calculated HEFT_NC]]/Tabla13[[#This Row],[Real HEFT_NC]]</f>
        <v>0.95792727397320632</v>
      </c>
      <c r="AF55" s="6">
        <f>Tabla13[[#This Row],[Calculated HEFT_DNC]]/Tabla13[[#This Row],[Real HEFT_DNC]]</f>
        <v>0.99412231657658634</v>
      </c>
      <c r="AG55" s="6">
        <f>Tabla13[[#This Row],[Calculated GA_NC]]/Tabla13[[#This Row],[Real GA_NC]]</f>
        <v>0.95645915947392313</v>
      </c>
      <c r="AH55" s="6">
        <f>Tabla13[[#This Row],[Calculated GA_DNC]]/Tabla13[[#This Row],[Real GA_DNC]]</f>
        <v>0.99268236717712499</v>
      </c>
      <c r="AI55" s="6">
        <f>Tabla13[[#This Row],[Calculated HGA_(Ph2)]]/Tabla13[[#This Row],[Real HGA_(Ph2)]]</f>
        <v>0.99172677809349863</v>
      </c>
      <c r="AJ55" s="6">
        <f>Tabla13[[#This Row],[Calculated HGA_(Ph1)]]/Tabla13[[#This Row],[Real HGA_(Ph1)]]</f>
        <v>0.9933603905927364</v>
      </c>
      <c r="AK55" s="6">
        <f>Tabla13[[#This Row],[Calculated HGA^H]]/Tabla13[[#This Row],[Real GA^H]]</f>
        <v>0.99192010965960487</v>
      </c>
      <c r="AL55" s="6">
        <f>Tabla13[[#This Row],[Calculated HGA_(Ph2)^H]]/Tabla13[[#This Row],[Real HGA_(Ph2)^H]]</f>
        <v>0.99194849104513549</v>
      </c>
      <c r="AM55" s="6">
        <f>Tabla13[[#This Row],[Calculated HGA_(Ph1)^H]]/Tabla13[[#This Row],[Real HGA_(Ph1)^H]]</f>
        <v>0.99206222867565452</v>
      </c>
    </row>
    <row r="56" spans="1:39">
      <c r="A56" s="6" t="str">
        <f t="shared" si="9"/>
        <v>epigenomics</v>
      </c>
      <c r="B56" t="s">
        <v>11</v>
      </c>
      <c r="C56">
        <f>_xlfn.XLOOKUP(B56,Instances!$B$2:$B$29,Instances!$A$2:$A$29,,0,1)</f>
        <v>125</v>
      </c>
      <c r="D56">
        <v>16</v>
      </c>
      <c r="E56">
        <v>227.637</v>
      </c>
      <c r="F56">
        <v>226.892</v>
      </c>
      <c r="G56">
        <v>235.03649999999999</v>
      </c>
      <c r="H56">
        <v>233.57050000000001</v>
      </c>
      <c r="I56">
        <v>220.31469999999999</v>
      </c>
      <c r="J56">
        <v>312.94330000000002</v>
      </c>
      <c r="K56">
        <v>226.81790000000001</v>
      </c>
      <c r="L56">
        <v>220.1815</v>
      </c>
      <c r="M56">
        <v>226.892</v>
      </c>
      <c r="N56" s="7">
        <f t="shared" si="10"/>
        <v>3.2727544292008967E-3</v>
      </c>
      <c r="O56" s="1">
        <f t="shared" si="11"/>
        <v>-3.2505699864257519E-2</v>
      </c>
      <c r="P56" s="1">
        <f t="shared" si="12"/>
        <v>-2.6065622021024741E-2</v>
      </c>
      <c r="Q56" s="1">
        <f t="shared" si="13"/>
        <v>3.2166563432131035E-2</v>
      </c>
      <c r="R56" s="1">
        <f t="shared" si="14"/>
        <v>-0.37474707538756891</v>
      </c>
      <c r="S56" s="1">
        <f t="shared" si="15"/>
        <v>3.59827268853478E-3</v>
      </c>
      <c r="T56" s="1">
        <f t="shared" si="16"/>
        <v>3.2751705566318311E-2</v>
      </c>
      <c r="U56" s="1">
        <f t="shared" si="17"/>
        <v>3.2727544292008967E-3</v>
      </c>
      <c r="V56">
        <v>211.2</v>
      </c>
      <c r="W56">
        <v>222.87899999999999</v>
      </c>
      <c r="X56">
        <v>219.21940000000001</v>
      </c>
      <c r="Y56">
        <v>229.4983</v>
      </c>
      <c r="Z56">
        <v>216.22069999999999</v>
      </c>
      <c r="AA56">
        <v>308.57170000000002</v>
      </c>
      <c r="AB56">
        <v>222.5429</v>
      </c>
      <c r="AC56">
        <v>215.9907</v>
      </c>
      <c r="AD56">
        <v>222.87899999999999</v>
      </c>
      <c r="AE56" s="6">
        <f>Tabla13[[#This Row],[Calculated HEFT_NC]]/Tabla13[[#This Row],[Real HEFT_NC]]</f>
        <v>0.92779293348620828</v>
      </c>
      <c r="AF56" s="6">
        <f>Tabla13[[#This Row],[Calculated HEFT_DNC]]/Tabla13[[#This Row],[Real HEFT_DNC]]</f>
        <v>0.98231317102409954</v>
      </c>
      <c r="AG56" s="6">
        <f>Tabla13[[#This Row],[Calculated GA_NC]]/Tabla13[[#This Row],[Real GA_NC]]</f>
        <v>0.93270364390211735</v>
      </c>
      <c r="AH56" s="6">
        <f>Tabla13[[#This Row],[Calculated GA_DNC]]/Tabla13[[#This Row],[Real GA_DNC]]</f>
        <v>0.98256543527543072</v>
      </c>
      <c r="AI56" s="6">
        <f>Tabla13[[#This Row],[Calculated HGA_(Ph2)]]/Tabla13[[#This Row],[Real HGA_(Ph2)]]</f>
        <v>0.98141749052605209</v>
      </c>
      <c r="AJ56" s="6">
        <f>Tabla13[[#This Row],[Calculated HGA_(Ph1)]]/Tabla13[[#This Row],[Real HGA_(Ph1)]]</f>
        <v>0.98603069629546314</v>
      </c>
      <c r="AK56" s="6">
        <f>Tabla13[[#This Row],[Calculated HGA^H]]/Tabla13[[#This Row],[Real GA^H]]</f>
        <v>0.98115228119121112</v>
      </c>
      <c r="AL56" s="6">
        <f>Tabla13[[#This Row],[Calculated HGA_(Ph2)^H]]/Tabla13[[#This Row],[Real HGA_(Ph2)^H]]</f>
        <v>0.98096661163630916</v>
      </c>
      <c r="AM56" s="6">
        <f>Tabla13[[#This Row],[Calculated HGA_(Ph1)^H]]/Tabla13[[#This Row],[Real HGA_(Ph1)^H]]</f>
        <v>0.98231317102409954</v>
      </c>
    </row>
    <row r="57" spans="1:39">
      <c r="A57" s="6" t="str">
        <f t="shared" si="9"/>
        <v>epigenomics</v>
      </c>
      <c r="B57" t="s">
        <v>13</v>
      </c>
      <c r="C57">
        <f>_xlfn.XLOOKUP(B57,Instances!$B$2:$B$29,Instances!$A$2:$A$29,,0,1)</f>
        <v>863</v>
      </c>
      <c r="D57">
        <v>1</v>
      </c>
      <c r="E57">
        <v>11907.7</v>
      </c>
      <c r="F57">
        <v>11907.7</v>
      </c>
      <c r="G57">
        <v>11907.7</v>
      </c>
      <c r="H57">
        <v>11907.7</v>
      </c>
      <c r="I57">
        <v>11907.7</v>
      </c>
      <c r="J57">
        <v>11907.7</v>
      </c>
      <c r="K57">
        <v>11907.7</v>
      </c>
      <c r="L57">
        <v>11907.7</v>
      </c>
      <c r="M57">
        <v>11907.7</v>
      </c>
      <c r="N57" s="7">
        <f t="shared" si="10"/>
        <v>0</v>
      </c>
      <c r="O57" s="1">
        <f t="shared" si="11"/>
        <v>0</v>
      </c>
      <c r="P57" s="1">
        <f t="shared" si="12"/>
        <v>0</v>
      </c>
      <c r="Q57" s="1">
        <f t="shared" si="13"/>
        <v>0</v>
      </c>
      <c r="R57" s="1">
        <f t="shared" si="14"/>
        <v>0</v>
      </c>
      <c r="S57" s="1">
        <f t="shared" si="15"/>
        <v>0</v>
      </c>
      <c r="T57" s="1">
        <f t="shared" si="16"/>
        <v>0</v>
      </c>
      <c r="U57" s="1">
        <f t="shared" si="17"/>
        <v>0</v>
      </c>
      <c r="V57">
        <v>11626.7</v>
      </c>
      <c r="W57">
        <v>11906.4</v>
      </c>
      <c r="X57">
        <v>11626.7</v>
      </c>
      <c r="Y57">
        <v>11906.4</v>
      </c>
      <c r="Z57">
        <v>11906.4</v>
      </c>
      <c r="AA57">
        <v>11906.4</v>
      </c>
      <c r="AB57">
        <v>11906.4</v>
      </c>
      <c r="AC57">
        <v>11906.4</v>
      </c>
      <c r="AD57">
        <v>11906.4</v>
      </c>
      <c r="AE57" s="6">
        <f>Tabla13[[#This Row],[Calculated HEFT_NC]]/Tabla13[[#This Row],[Real HEFT_NC]]</f>
        <v>0.97640182402982945</v>
      </c>
      <c r="AF57" s="6">
        <f>Tabla13[[#This Row],[Calculated HEFT_DNC]]/Tabla13[[#This Row],[Real HEFT_DNC]]</f>
        <v>0.99989082694391018</v>
      </c>
      <c r="AG57" s="6">
        <f>Tabla13[[#This Row],[Calculated GA_NC]]/Tabla13[[#This Row],[Real GA_NC]]</f>
        <v>0.97640182402982945</v>
      </c>
      <c r="AH57" s="6">
        <f>Tabla13[[#This Row],[Calculated GA_DNC]]/Tabla13[[#This Row],[Real GA_DNC]]</f>
        <v>0.99989082694391018</v>
      </c>
      <c r="AI57" s="6">
        <f>Tabla13[[#This Row],[Calculated HGA_(Ph2)]]/Tabla13[[#This Row],[Real HGA_(Ph2)]]</f>
        <v>0.99989082694391018</v>
      </c>
      <c r="AJ57" s="6">
        <f>Tabla13[[#This Row],[Calculated HGA_(Ph1)]]/Tabla13[[#This Row],[Real HGA_(Ph1)]]</f>
        <v>0.99989082694391018</v>
      </c>
      <c r="AK57" s="6">
        <f>Tabla13[[#This Row],[Calculated HGA^H]]/Tabla13[[#This Row],[Real GA^H]]</f>
        <v>0.99989082694391018</v>
      </c>
      <c r="AL57" s="6">
        <f>Tabla13[[#This Row],[Calculated HGA_(Ph2)^H]]/Tabla13[[#This Row],[Real HGA_(Ph2)^H]]</f>
        <v>0.99989082694391018</v>
      </c>
      <c r="AM57" s="6">
        <f>Tabla13[[#This Row],[Calculated HGA_(Ph1)^H]]/Tabla13[[#This Row],[Real HGA_(Ph1)^H]]</f>
        <v>0.99989082694391018</v>
      </c>
    </row>
    <row r="58" spans="1:39">
      <c r="A58" s="6" t="str">
        <f t="shared" si="9"/>
        <v>epigenomics</v>
      </c>
      <c r="B58" t="s">
        <v>13</v>
      </c>
      <c r="C58">
        <f>_xlfn.XLOOKUP(B58,Instances!$B$2:$B$29,Instances!$A$2:$A$29,,0,1)</f>
        <v>863</v>
      </c>
      <c r="D58">
        <v>2</v>
      </c>
      <c r="E58">
        <v>6037.6900000000014</v>
      </c>
      <c r="F58">
        <v>6022.3799999999992</v>
      </c>
      <c r="G58">
        <v>6026.1080000000002</v>
      </c>
      <c r="H58">
        <v>6023.05</v>
      </c>
      <c r="I58">
        <v>6022.17</v>
      </c>
      <c r="J58">
        <v>6314.2800000000007</v>
      </c>
      <c r="K58">
        <v>6022.585</v>
      </c>
      <c r="L58">
        <v>6022.6220000000003</v>
      </c>
      <c r="M58">
        <v>6022.3799999999992</v>
      </c>
      <c r="N58" s="7">
        <f t="shared" si="10"/>
        <v>2.535738005760848E-3</v>
      </c>
      <c r="O58" s="1">
        <f t="shared" si="11"/>
        <v>1.9182833169641437E-3</v>
      </c>
      <c r="P58" s="1">
        <f t="shared" si="12"/>
        <v>2.424768413085341E-3</v>
      </c>
      <c r="Q58" s="1">
        <f t="shared" si="13"/>
        <v>2.5705195198828263E-3</v>
      </c>
      <c r="R58" s="1">
        <f t="shared" si="14"/>
        <v>-4.5810566623990162E-2</v>
      </c>
      <c r="S58" s="1">
        <f t="shared" si="15"/>
        <v>2.5017846229272089E-3</v>
      </c>
      <c r="T58" s="1">
        <f t="shared" si="16"/>
        <v>2.4956564513913628E-3</v>
      </c>
      <c r="U58" s="1">
        <f t="shared" si="17"/>
        <v>2.535738005760848E-3</v>
      </c>
      <c r="V58">
        <v>5871.0200000000013</v>
      </c>
      <c r="W58">
        <v>6005.54</v>
      </c>
      <c r="X58">
        <v>5860.2370000000001</v>
      </c>
      <c r="Y58">
        <v>6004.7299999999987</v>
      </c>
      <c r="Z58">
        <v>6004.7299999999987</v>
      </c>
      <c r="AA58">
        <v>6295.68</v>
      </c>
      <c r="AB58">
        <v>6004.7299999999987</v>
      </c>
      <c r="AC58">
        <v>6004.7299999999987</v>
      </c>
      <c r="AD58">
        <v>6005.54</v>
      </c>
      <c r="AE58" s="6">
        <f>Tabla13[[#This Row],[Calculated HEFT_NC]]/Tabla13[[#This Row],[Real HEFT_NC]]</f>
        <v>0.9723950716250751</v>
      </c>
      <c r="AF58" s="6">
        <f>Tabla13[[#This Row],[Calculated HEFT_DNC]]/Tabla13[[#This Row],[Real HEFT_DNC]]</f>
        <v>0.9972037632962385</v>
      </c>
      <c r="AG58" s="6">
        <f>Tabla13[[#This Row],[Calculated GA_NC]]/Tabla13[[#This Row],[Real GA_NC]]</f>
        <v>0.97247460549993459</v>
      </c>
      <c r="AH58" s="6">
        <f>Tabla13[[#This Row],[Calculated GA_DNC]]/Tabla13[[#This Row],[Real GA_DNC]]</f>
        <v>0.99695835166568403</v>
      </c>
      <c r="AI58" s="6">
        <f>Tabla13[[#This Row],[Calculated HGA_(Ph2)]]/Tabla13[[#This Row],[Real HGA_(Ph2)]]</f>
        <v>0.9971040339279692</v>
      </c>
      <c r="AJ58" s="6">
        <f>Tabla13[[#This Row],[Calculated HGA_(Ph1)]]/Tabla13[[#This Row],[Real HGA_(Ph1)]]</f>
        <v>0.99705429597673834</v>
      </c>
      <c r="AK58" s="6">
        <f>Tabla13[[#This Row],[Calculated HGA^H]]/Tabla13[[#This Row],[Real GA^H]]</f>
        <v>0.99703532619298829</v>
      </c>
      <c r="AL58" s="6">
        <f>Tabla13[[#This Row],[Calculated HGA_(Ph2)^H]]/Tabla13[[#This Row],[Real HGA_(Ph2)^H]]</f>
        <v>0.99702920090286229</v>
      </c>
      <c r="AM58" s="6">
        <f>Tabla13[[#This Row],[Calculated HGA_(Ph1)^H]]/Tabla13[[#This Row],[Real HGA_(Ph1)^H]]</f>
        <v>0.9972037632962385</v>
      </c>
    </row>
    <row r="59" spans="1:39">
      <c r="A59" s="6" t="str">
        <f t="shared" si="9"/>
        <v>epigenomics</v>
      </c>
      <c r="B59" t="s">
        <v>13</v>
      </c>
      <c r="C59">
        <f>_xlfn.XLOOKUP(B59,Instances!$B$2:$B$29,Instances!$A$2:$A$29,,0,1)</f>
        <v>863</v>
      </c>
      <c r="D59">
        <v>4</v>
      </c>
      <c r="E59">
        <v>3083.43</v>
      </c>
      <c r="F59">
        <v>3081.099999999999</v>
      </c>
      <c r="G59">
        <v>3078.2</v>
      </c>
      <c r="H59">
        <v>3076.424</v>
      </c>
      <c r="I59">
        <v>3068.7080000000001</v>
      </c>
      <c r="J59">
        <v>3787.6120000000001</v>
      </c>
      <c r="K59">
        <v>3070.183</v>
      </c>
      <c r="L59">
        <v>3068.665</v>
      </c>
      <c r="M59">
        <v>3081.099999999999</v>
      </c>
      <c r="N59" s="7">
        <f t="shared" si="10"/>
        <v>7.5565198496506706E-4</v>
      </c>
      <c r="O59" s="1">
        <f t="shared" si="11"/>
        <v>1.6961630392128306E-3</v>
      </c>
      <c r="P59" s="1">
        <f t="shared" si="12"/>
        <v>2.272144981400537E-3</v>
      </c>
      <c r="Q59" s="1">
        <f t="shared" si="13"/>
        <v>4.7745530140135351E-3</v>
      </c>
      <c r="R59" s="1">
        <f t="shared" si="14"/>
        <v>-0.22837619144913304</v>
      </c>
      <c r="S59" s="1">
        <f t="shared" si="15"/>
        <v>4.2961896329736186E-3</v>
      </c>
      <c r="T59" s="1">
        <f t="shared" si="16"/>
        <v>4.7884985227489756E-3</v>
      </c>
      <c r="U59" s="1">
        <f t="shared" si="17"/>
        <v>7.5565198496506706E-4</v>
      </c>
      <c r="V59">
        <v>2985.79</v>
      </c>
      <c r="W59">
        <v>3069.23</v>
      </c>
      <c r="X59">
        <v>2981.078</v>
      </c>
      <c r="Y59">
        <v>3061.665</v>
      </c>
      <c r="Z59">
        <v>3053.9290000000001</v>
      </c>
      <c r="AA59">
        <v>3773.0030000000002</v>
      </c>
      <c r="AB59">
        <v>3056.6619999999989</v>
      </c>
      <c r="AC59">
        <v>3053.9450000000011</v>
      </c>
      <c r="AD59">
        <v>3069.23</v>
      </c>
      <c r="AE59" s="6">
        <f>Tabla13[[#This Row],[Calculated HEFT_NC]]/Tabla13[[#This Row],[Real HEFT_NC]]</f>
        <v>0.96833396574593877</v>
      </c>
      <c r="AF59" s="6">
        <f>Tabla13[[#This Row],[Calculated HEFT_DNC]]/Tabla13[[#This Row],[Real HEFT_DNC]]</f>
        <v>0.99614747979617702</v>
      </c>
      <c r="AG59" s="6">
        <f>Tabla13[[#This Row],[Calculated GA_NC]]/Tabla13[[#This Row],[Real GA_NC]]</f>
        <v>0.96844844389578333</v>
      </c>
      <c r="AH59" s="6">
        <f>Tabla13[[#This Row],[Calculated GA_DNC]]/Tabla13[[#This Row],[Real GA_DNC]]</f>
        <v>0.99520254685309961</v>
      </c>
      <c r="AI59" s="6">
        <f>Tabla13[[#This Row],[Calculated HGA_(Ph2)]]/Tabla13[[#This Row],[Real HGA_(Ph2)]]</f>
        <v>0.99518396667261921</v>
      </c>
      <c r="AJ59" s="6">
        <f>Tabla13[[#This Row],[Calculated HGA_(Ph1)]]/Tabla13[[#This Row],[Real HGA_(Ph1)]]</f>
        <v>0.99614295234041927</v>
      </c>
      <c r="AK59" s="6">
        <f>Tabla13[[#This Row],[Calculated HGA^H]]/Tabla13[[#This Row],[Real GA^H]]</f>
        <v>0.99559602798921076</v>
      </c>
      <c r="AL59" s="6">
        <f>Tabla13[[#This Row],[Calculated HGA_(Ph2)^H]]/Tabla13[[#This Row],[Real HGA_(Ph2)^H]]</f>
        <v>0.99520312578922787</v>
      </c>
      <c r="AM59" s="6">
        <f>Tabla13[[#This Row],[Calculated HGA_(Ph1)^H]]/Tabla13[[#This Row],[Real HGA_(Ph1)^H]]</f>
        <v>0.99614747979617702</v>
      </c>
    </row>
    <row r="60" spans="1:39">
      <c r="A60" s="6" t="str">
        <f t="shared" si="9"/>
        <v>epigenomics</v>
      </c>
      <c r="B60" t="s">
        <v>13</v>
      </c>
      <c r="C60">
        <f>_xlfn.XLOOKUP(B60,Instances!$B$2:$B$29,Instances!$A$2:$A$29,,0,1)</f>
        <v>863</v>
      </c>
      <c r="D60">
        <v>8</v>
      </c>
      <c r="E60">
        <v>1617.09</v>
      </c>
      <c r="F60">
        <v>1614.33</v>
      </c>
      <c r="G60">
        <v>1627.9</v>
      </c>
      <c r="H60">
        <v>1629.85</v>
      </c>
      <c r="I60">
        <v>1605.8050000000001</v>
      </c>
      <c r="J60">
        <v>2366.7710000000002</v>
      </c>
      <c r="K60">
        <v>1607.211</v>
      </c>
      <c r="L60">
        <v>1603.249</v>
      </c>
      <c r="M60">
        <v>1614.33</v>
      </c>
      <c r="N60" s="7">
        <f t="shared" si="10"/>
        <v>1.7067695675565312E-3</v>
      </c>
      <c r="O60" s="1">
        <f t="shared" si="11"/>
        <v>-6.6848474729298765E-3</v>
      </c>
      <c r="P60" s="1">
        <f t="shared" si="12"/>
        <v>-7.8907172760947081E-3</v>
      </c>
      <c r="Q60" s="1">
        <f t="shared" si="13"/>
        <v>6.9785849890852429E-3</v>
      </c>
      <c r="R60" s="1">
        <f t="shared" si="14"/>
        <v>-0.46359881020846105</v>
      </c>
      <c r="S60" s="1">
        <f t="shared" si="15"/>
        <v>6.1091219412648069E-3</v>
      </c>
      <c r="T60" s="1">
        <f t="shared" si="16"/>
        <v>8.5592020233876253E-3</v>
      </c>
      <c r="U60" s="1">
        <f t="shared" si="17"/>
        <v>1.7067695675565312E-3</v>
      </c>
      <c r="V60">
        <v>1557.36</v>
      </c>
      <c r="W60">
        <v>1606.84</v>
      </c>
      <c r="X60">
        <v>1569.7</v>
      </c>
      <c r="Y60">
        <v>1620.4059999999999</v>
      </c>
      <c r="Z60">
        <v>1595.6489999999999</v>
      </c>
      <c r="AA60">
        <v>2356.5410000000002</v>
      </c>
      <c r="AB60">
        <v>1597.499</v>
      </c>
      <c r="AC60">
        <v>1593.2260000000001</v>
      </c>
      <c r="AD60">
        <v>1606.84</v>
      </c>
      <c r="AE60" s="6">
        <f>Tabla13[[#This Row],[Calculated HEFT_NC]]/Tabla13[[#This Row],[Real HEFT_NC]]</f>
        <v>0.96306328033690147</v>
      </c>
      <c r="AF60" s="6">
        <f>Tabla13[[#This Row],[Calculated HEFT_DNC]]/Tabla13[[#This Row],[Real HEFT_DNC]]</f>
        <v>0.99536030427483846</v>
      </c>
      <c r="AG60" s="6">
        <f>Tabla13[[#This Row],[Calculated GA_NC]]/Tabla13[[#This Row],[Real GA_NC]]</f>
        <v>0.96424841820750662</v>
      </c>
      <c r="AH60" s="6">
        <f>Tabla13[[#This Row],[Calculated GA_DNC]]/Tabla13[[#This Row],[Real GA_DNC]]</f>
        <v>0.99420560174249162</v>
      </c>
      <c r="AI60" s="6">
        <f>Tabla13[[#This Row],[Calculated HGA_(Ph2)]]/Tabla13[[#This Row],[Real HGA_(Ph2)]]</f>
        <v>0.99367544627149607</v>
      </c>
      <c r="AJ60" s="6">
        <f>Tabla13[[#This Row],[Calculated HGA_(Ph1)]]/Tabla13[[#This Row],[Real HGA_(Ph1)]]</f>
        <v>0.99567765533716612</v>
      </c>
      <c r="AK60" s="6">
        <f>Tabla13[[#This Row],[Calculated HGA^H]]/Tabla13[[#This Row],[Real GA^H]]</f>
        <v>0.99395723399105651</v>
      </c>
      <c r="AL60" s="6">
        <f>Tabla13[[#This Row],[Calculated HGA_(Ph2)^H]]/Tabla13[[#This Row],[Real HGA_(Ph2)^H]]</f>
        <v>0.99374831981806944</v>
      </c>
      <c r="AM60" s="6">
        <f>Tabla13[[#This Row],[Calculated HGA_(Ph1)^H]]/Tabla13[[#This Row],[Real HGA_(Ph1)^H]]</f>
        <v>0.99536030427483846</v>
      </c>
    </row>
    <row r="61" spans="1:39">
      <c r="A61" s="6" t="str">
        <f t="shared" si="9"/>
        <v>epigenomics</v>
      </c>
      <c r="B61" t="s">
        <v>13</v>
      </c>
      <c r="C61">
        <f>_xlfn.XLOOKUP(B61,Instances!$B$2:$B$29,Instances!$A$2:$A$29,,0,1)</f>
        <v>863</v>
      </c>
      <c r="D61">
        <v>16</v>
      </c>
      <c r="E61">
        <v>900.63800000000015</v>
      </c>
      <c r="F61">
        <v>896.68799999999987</v>
      </c>
      <c r="G61">
        <v>923.80799999999999</v>
      </c>
      <c r="H61">
        <v>924.8517999999998</v>
      </c>
      <c r="I61">
        <v>889.75710000000004</v>
      </c>
      <c r="J61">
        <v>1510.971</v>
      </c>
      <c r="K61">
        <v>892.87739999999997</v>
      </c>
      <c r="L61">
        <v>886.01059999999995</v>
      </c>
      <c r="M61">
        <v>896.68799999999987</v>
      </c>
      <c r="N61" s="7">
        <f t="shared" si="10"/>
        <v>4.3857798582785448E-3</v>
      </c>
      <c r="O61" s="1">
        <f t="shared" si="11"/>
        <v>-2.5726207421849667E-2</v>
      </c>
      <c r="P61" s="1">
        <f t="shared" si="12"/>
        <v>-2.6885163628449664E-2</v>
      </c>
      <c r="Q61" s="1">
        <f t="shared" si="13"/>
        <v>1.2081324572136763E-2</v>
      </c>
      <c r="R61" s="1">
        <f t="shared" si="14"/>
        <v>-0.67766738689684392</v>
      </c>
      <c r="S61" s="1">
        <f t="shared" si="15"/>
        <v>8.6167805488999803E-3</v>
      </c>
      <c r="T61" s="1">
        <f t="shared" si="16"/>
        <v>1.6241153493412659E-2</v>
      </c>
      <c r="U61" s="1">
        <f t="shared" si="17"/>
        <v>4.3857798582785448E-3</v>
      </c>
      <c r="V61">
        <v>857.93600000000004</v>
      </c>
      <c r="W61">
        <v>891.54300000000001</v>
      </c>
      <c r="X61">
        <v>885.39779999999996</v>
      </c>
      <c r="Y61">
        <v>919.05020000000002</v>
      </c>
      <c r="Z61">
        <v>881.61019999999985</v>
      </c>
      <c r="AA61">
        <v>1504.2909999999999</v>
      </c>
      <c r="AB61">
        <v>886.36329999999998</v>
      </c>
      <c r="AC61">
        <v>877.24950000000013</v>
      </c>
      <c r="AD61">
        <v>891.54300000000001</v>
      </c>
      <c r="AE61" s="6">
        <f>Tabla13[[#This Row],[Calculated HEFT_NC]]/Tabla13[[#This Row],[Real HEFT_NC]]</f>
        <v>0.95258694392197518</v>
      </c>
      <c r="AF61" s="6">
        <f>Tabla13[[#This Row],[Calculated HEFT_DNC]]/Tabla13[[#This Row],[Real HEFT_DNC]]</f>
        <v>0.99426221829666517</v>
      </c>
      <c r="AG61" s="6">
        <f>Tabla13[[#This Row],[Calculated GA_NC]]/Tabla13[[#This Row],[Real GA_NC]]</f>
        <v>0.95842187987114202</v>
      </c>
      <c r="AH61" s="6">
        <f>Tabla13[[#This Row],[Calculated GA_DNC]]/Tabla13[[#This Row],[Real GA_DNC]]</f>
        <v>0.99372699496286887</v>
      </c>
      <c r="AI61" s="6">
        <f>Tabla13[[#This Row],[Calculated HGA_(Ph2)]]/Tabla13[[#This Row],[Real HGA_(Ph2)]]</f>
        <v>0.99084368082030461</v>
      </c>
      <c r="AJ61" s="6">
        <f>Tabla13[[#This Row],[Calculated HGA_(Ph1)]]/Tabla13[[#This Row],[Real HGA_(Ph1)]]</f>
        <v>0.99557900184715653</v>
      </c>
      <c r="AK61" s="6">
        <f>Tabla13[[#This Row],[Calculated HGA^H]]/Tabla13[[#This Row],[Real GA^H]]</f>
        <v>0.99270437352317353</v>
      </c>
      <c r="AL61" s="6">
        <f>Tabla13[[#This Row],[Calculated HGA_(Ph2)^H]]/Tabla13[[#This Row],[Real HGA_(Ph2)^H]]</f>
        <v>0.99011174358410625</v>
      </c>
      <c r="AM61" s="6">
        <f>Tabla13[[#This Row],[Calculated HGA_(Ph1)^H]]/Tabla13[[#This Row],[Real HGA_(Ph1)^H]]</f>
        <v>0.99426221829666517</v>
      </c>
    </row>
    <row r="62" spans="1:39">
      <c r="A62" s="6" t="str">
        <f t="shared" si="9"/>
        <v>montage</v>
      </c>
      <c r="B62" t="s">
        <v>14</v>
      </c>
      <c r="C62">
        <f>_xlfn.XLOOKUP(B62,Instances!$B$2:$B$29,Instances!$A$2:$A$29,,0,1)</f>
        <v>58</v>
      </c>
      <c r="D62">
        <v>1</v>
      </c>
      <c r="E62">
        <v>228.483</v>
      </c>
      <c r="F62">
        <v>228.483</v>
      </c>
      <c r="G62">
        <v>228.483</v>
      </c>
      <c r="H62">
        <v>228.483</v>
      </c>
      <c r="I62">
        <v>228.483</v>
      </c>
      <c r="J62">
        <v>228.483</v>
      </c>
      <c r="K62">
        <v>228.483</v>
      </c>
      <c r="L62">
        <v>228.483</v>
      </c>
      <c r="M62">
        <v>228.483</v>
      </c>
      <c r="N62" s="7">
        <f t="shared" si="10"/>
        <v>0</v>
      </c>
      <c r="O62" s="1">
        <f t="shared" si="11"/>
        <v>0</v>
      </c>
      <c r="P62" s="1">
        <f t="shared" si="12"/>
        <v>0</v>
      </c>
      <c r="Q62" s="1">
        <f t="shared" si="13"/>
        <v>0</v>
      </c>
      <c r="R62" s="1">
        <f t="shared" si="14"/>
        <v>0</v>
      </c>
      <c r="S62" s="1">
        <f t="shared" si="15"/>
        <v>0</v>
      </c>
      <c r="T62" s="1">
        <f t="shared" si="16"/>
        <v>0</v>
      </c>
      <c r="U62" s="1">
        <f t="shared" si="17"/>
        <v>0</v>
      </c>
      <c r="V62">
        <v>221.726</v>
      </c>
      <c r="W62">
        <v>228.404</v>
      </c>
      <c r="X62">
        <v>221.726</v>
      </c>
      <c r="Y62">
        <v>228.404</v>
      </c>
      <c r="Z62">
        <v>228.404</v>
      </c>
      <c r="AA62">
        <v>228.404</v>
      </c>
      <c r="AB62">
        <v>228.404</v>
      </c>
      <c r="AC62">
        <v>228.404</v>
      </c>
      <c r="AD62">
        <v>228.404</v>
      </c>
      <c r="AE62" s="6">
        <f>Tabla13[[#This Row],[Calculated HEFT_NC]]/Tabla13[[#This Row],[Real HEFT_NC]]</f>
        <v>0.9704266838233041</v>
      </c>
      <c r="AF62" s="6">
        <f>Tabla13[[#This Row],[Calculated HEFT_DNC]]/Tabla13[[#This Row],[Real HEFT_DNC]]</f>
        <v>0.99965424123457758</v>
      </c>
      <c r="AG62" s="6">
        <f>Tabla13[[#This Row],[Calculated GA_NC]]/Tabla13[[#This Row],[Real GA_NC]]</f>
        <v>0.9704266838233041</v>
      </c>
      <c r="AH62" s="6">
        <f>Tabla13[[#This Row],[Calculated GA_DNC]]/Tabla13[[#This Row],[Real GA_DNC]]</f>
        <v>0.99965424123457758</v>
      </c>
      <c r="AI62" s="6">
        <f>Tabla13[[#This Row],[Calculated HGA_(Ph2)]]/Tabla13[[#This Row],[Real HGA_(Ph2)]]</f>
        <v>0.99965424123457758</v>
      </c>
      <c r="AJ62" s="6">
        <f>Tabla13[[#This Row],[Calculated HGA_(Ph1)]]/Tabla13[[#This Row],[Real HGA_(Ph1)]]</f>
        <v>0.99965424123457758</v>
      </c>
      <c r="AK62" s="6">
        <f>Tabla13[[#This Row],[Calculated HGA^H]]/Tabla13[[#This Row],[Real GA^H]]</f>
        <v>0.99965424123457758</v>
      </c>
      <c r="AL62" s="6">
        <f>Tabla13[[#This Row],[Calculated HGA_(Ph2)^H]]/Tabla13[[#This Row],[Real HGA_(Ph2)^H]]</f>
        <v>0.99965424123457758</v>
      </c>
      <c r="AM62" s="6">
        <f>Tabla13[[#This Row],[Calculated HGA_(Ph1)^H]]/Tabla13[[#This Row],[Real HGA_(Ph1)^H]]</f>
        <v>0.99965424123457758</v>
      </c>
    </row>
    <row r="63" spans="1:39">
      <c r="A63" s="6" t="str">
        <f t="shared" si="9"/>
        <v>montage</v>
      </c>
      <c r="B63" t="s">
        <v>14</v>
      </c>
      <c r="C63">
        <f>_xlfn.XLOOKUP(B63,Instances!$B$2:$B$29,Instances!$A$2:$A$29,,0,1)</f>
        <v>58</v>
      </c>
      <c r="D63">
        <v>2</v>
      </c>
      <c r="E63">
        <v>116.962</v>
      </c>
      <c r="F63">
        <v>116.63200000000001</v>
      </c>
      <c r="G63">
        <v>116.2467</v>
      </c>
      <c r="H63">
        <v>115.9863</v>
      </c>
      <c r="I63">
        <v>116.0826</v>
      </c>
      <c r="J63">
        <v>116.12390000000001</v>
      </c>
      <c r="K63">
        <v>116.1078</v>
      </c>
      <c r="L63">
        <v>116.0063</v>
      </c>
      <c r="M63">
        <v>116.1952</v>
      </c>
      <c r="N63" s="7">
        <f t="shared" si="10"/>
        <v>2.8214291821275139E-3</v>
      </c>
      <c r="O63" s="1">
        <f t="shared" si="11"/>
        <v>6.1156614968964204E-3</v>
      </c>
      <c r="P63" s="1">
        <f t="shared" si="12"/>
        <v>8.3420256151570879E-3</v>
      </c>
      <c r="Q63" s="1">
        <f t="shared" si="13"/>
        <v>7.5186812810998779E-3</v>
      </c>
      <c r="R63" s="1">
        <f t="shared" si="14"/>
        <v>7.1655751440638593E-3</v>
      </c>
      <c r="S63" s="1">
        <f t="shared" si="15"/>
        <v>7.3032266890101557E-3</v>
      </c>
      <c r="T63" s="1">
        <f t="shared" si="16"/>
        <v>8.1710299071493936E-3</v>
      </c>
      <c r="U63" s="1">
        <f t="shared" si="17"/>
        <v>6.55597544501636E-3</v>
      </c>
      <c r="V63">
        <v>111.035</v>
      </c>
      <c r="W63">
        <v>114.508</v>
      </c>
      <c r="X63">
        <v>110.8634</v>
      </c>
      <c r="Y63">
        <v>114.2025</v>
      </c>
      <c r="Z63">
        <v>114.20229999999999</v>
      </c>
      <c r="AA63">
        <v>114.26090000000001</v>
      </c>
      <c r="AB63">
        <v>114.2025</v>
      </c>
      <c r="AC63">
        <v>114.202</v>
      </c>
      <c r="AD63">
        <v>114.26560000000001</v>
      </c>
      <c r="AE63" s="6">
        <f>Tabla13[[#This Row],[Calculated HEFT_NC]]/Tabla13[[#This Row],[Real HEFT_NC]]</f>
        <v>0.9493254219319095</v>
      </c>
      <c r="AF63" s="6">
        <f>Tabla13[[#This Row],[Calculated HEFT_DNC]]/Tabla13[[#This Row],[Real HEFT_DNC]]</f>
        <v>0.98178887440839557</v>
      </c>
      <c r="AG63" s="6">
        <f>Tabla13[[#This Row],[Calculated GA_NC]]/Tabla13[[#This Row],[Real GA_NC]]</f>
        <v>0.95369072842497893</v>
      </c>
      <c r="AH63" s="6">
        <f>Tabla13[[#This Row],[Calculated GA_DNC]]/Tabla13[[#This Row],[Real GA_DNC]]</f>
        <v>0.98462059743262786</v>
      </c>
      <c r="AI63" s="6">
        <f>Tabla13[[#This Row],[Calculated HGA_(Ph2)]]/Tabla13[[#This Row],[Real HGA_(Ph2)]]</f>
        <v>0.98380205129795506</v>
      </c>
      <c r="AJ63" s="6">
        <f>Tabla13[[#This Row],[Calculated HGA_(Ph1)]]/Tabla13[[#This Row],[Real HGA_(Ph1)]]</f>
        <v>0.98395679097929023</v>
      </c>
      <c r="AK63" s="6">
        <f>Tabla13[[#This Row],[Calculated HGA^H]]/Tabla13[[#This Row],[Real GA^H]]</f>
        <v>0.98359024975066278</v>
      </c>
      <c r="AL63" s="6">
        <f>Tabla13[[#This Row],[Calculated HGA_(Ph2)^H]]/Tabla13[[#This Row],[Real HGA_(Ph2)^H]]</f>
        <v>0.98444653436925411</v>
      </c>
      <c r="AM63" s="6">
        <f>Tabla13[[#This Row],[Calculated HGA_(Ph1)^H]]/Tabla13[[#This Row],[Real HGA_(Ph1)^H]]</f>
        <v>0.98339346203629763</v>
      </c>
    </row>
    <row r="64" spans="1:39">
      <c r="A64" s="6" t="str">
        <f t="shared" si="9"/>
        <v>montage</v>
      </c>
      <c r="B64" t="s">
        <v>14</v>
      </c>
      <c r="C64">
        <f>_xlfn.XLOOKUP(B64,Instances!$B$2:$B$29,Instances!$A$2:$A$29,,0,1)</f>
        <v>58</v>
      </c>
      <c r="D64">
        <v>4</v>
      </c>
      <c r="E64">
        <v>59.432200000000002</v>
      </c>
      <c r="F64">
        <v>59.269899999999993</v>
      </c>
      <c r="G64">
        <v>60.326199999999993</v>
      </c>
      <c r="H64">
        <v>59.535170000000008</v>
      </c>
      <c r="I64">
        <v>59.299460000000003</v>
      </c>
      <c r="J64">
        <v>59.744190000000003</v>
      </c>
      <c r="K64">
        <v>59.40757</v>
      </c>
      <c r="L64">
        <v>59.199069999999992</v>
      </c>
      <c r="M64">
        <v>59.322000000000003</v>
      </c>
      <c r="N64" s="7">
        <f t="shared" si="10"/>
        <v>2.7308428764206776E-3</v>
      </c>
      <c r="O64" s="1">
        <f t="shared" si="11"/>
        <v>-1.5042350779543601E-2</v>
      </c>
      <c r="P64" s="1">
        <f t="shared" si="12"/>
        <v>-1.7325624829638852E-3</v>
      </c>
      <c r="Q64" s="1">
        <f t="shared" si="13"/>
        <v>2.2334693987434134E-3</v>
      </c>
      <c r="R64" s="1">
        <f t="shared" si="14"/>
        <v>-5.249511207729169E-3</v>
      </c>
      <c r="S64" s="1">
        <f t="shared" si="15"/>
        <v>4.1442181174518067E-4</v>
      </c>
      <c r="T64" s="1">
        <f t="shared" si="16"/>
        <v>3.922621070732866E-3</v>
      </c>
      <c r="U64" s="1">
        <f t="shared" si="17"/>
        <v>1.8542137090667846E-3</v>
      </c>
      <c r="V64">
        <v>55.887999999999998</v>
      </c>
      <c r="W64">
        <v>57.8202</v>
      </c>
      <c r="X64">
        <v>56.043780000000012</v>
      </c>
      <c r="Y64">
        <v>57.678019999999989</v>
      </c>
      <c r="Z64">
        <v>57.385689999999997</v>
      </c>
      <c r="AA64">
        <v>58.020740000000004</v>
      </c>
      <c r="AB64">
        <v>57.617400000000004</v>
      </c>
      <c r="AC64">
        <v>57.377429999999997</v>
      </c>
      <c r="AD64">
        <v>57.819100000000013</v>
      </c>
      <c r="AE64" s="6">
        <f>Tabla13[[#This Row],[Calculated HEFT_NC]]/Tabla13[[#This Row],[Real HEFT_NC]]</f>
        <v>0.9403656603659295</v>
      </c>
      <c r="AF64" s="6">
        <f>Tabla13[[#This Row],[Calculated HEFT_DNC]]/Tabla13[[#This Row],[Real HEFT_DNC]]</f>
        <v>0.97554070447225327</v>
      </c>
      <c r="AG64" s="6">
        <f>Tabla13[[#This Row],[Calculated GA_NC]]/Tabla13[[#This Row],[Real GA_NC]]</f>
        <v>0.92901226995898989</v>
      </c>
      <c r="AH64" s="6">
        <f>Tabla13[[#This Row],[Calculated GA_DNC]]/Tabla13[[#This Row],[Real GA_DNC]]</f>
        <v>0.96880583359382333</v>
      </c>
      <c r="AI64" s="6">
        <f>Tabla13[[#This Row],[Calculated HGA_(Ph2)]]/Tabla13[[#This Row],[Real HGA_(Ph2)]]</f>
        <v>0.96772702483294104</v>
      </c>
      <c r="AJ64" s="6">
        <f>Tabla13[[#This Row],[Calculated HGA_(Ph1)]]/Tabla13[[#This Row],[Real HGA_(Ph1)]]</f>
        <v>0.97115284348151676</v>
      </c>
      <c r="AK64" s="6">
        <f>Tabla13[[#This Row],[Calculated HGA^H]]/Tabla13[[#This Row],[Real GA^H]]</f>
        <v>0.9698662981838847</v>
      </c>
      <c r="AL64" s="6">
        <f>Tabla13[[#This Row],[Calculated HGA_(Ph2)^H]]/Tabla13[[#This Row],[Real HGA_(Ph2)^H]]</f>
        <v>0.96922857065153223</v>
      </c>
      <c r="AM64" s="6">
        <f>Tabla13[[#This Row],[Calculated HGA_(Ph1)^H]]/Tabla13[[#This Row],[Real HGA_(Ph1)^H]]</f>
        <v>0.97466538552307758</v>
      </c>
    </row>
    <row r="65" spans="1:39">
      <c r="A65" s="6" t="str">
        <f t="shared" si="9"/>
        <v>montage</v>
      </c>
      <c r="B65" t="s">
        <v>14</v>
      </c>
      <c r="C65">
        <f>_xlfn.XLOOKUP(B65,Instances!$B$2:$B$29,Instances!$A$2:$A$29,,0,1)</f>
        <v>58</v>
      </c>
      <c r="D65">
        <v>8</v>
      </c>
      <c r="E65">
        <v>37.864500000000007</v>
      </c>
      <c r="F65">
        <v>37.940899999999999</v>
      </c>
      <c r="G65">
        <v>38.632770000000001</v>
      </c>
      <c r="H65">
        <v>39.063029999999998</v>
      </c>
      <c r="I65">
        <v>38.113959999999992</v>
      </c>
      <c r="J65">
        <v>39.060049999999997</v>
      </c>
      <c r="K65">
        <v>37.947159999999997</v>
      </c>
      <c r="L65">
        <v>37.993989999999997</v>
      </c>
      <c r="M65">
        <v>37.940899999999999</v>
      </c>
      <c r="N65" s="7">
        <f t="shared" si="10"/>
        <v>-2.017721084392834E-3</v>
      </c>
      <c r="O65" s="1">
        <f t="shared" si="11"/>
        <v>-2.0289981380976742E-2</v>
      </c>
      <c r="P65" s="1">
        <f t="shared" si="12"/>
        <v>-3.1653131561224651E-2</v>
      </c>
      <c r="Q65" s="1">
        <f t="shared" si="13"/>
        <v>-6.5882290800085798E-3</v>
      </c>
      <c r="R65" s="1">
        <f t="shared" si="14"/>
        <v>-3.1574429874948566E-2</v>
      </c>
      <c r="S65" s="1">
        <f t="shared" si="15"/>
        <v>-2.183047445496176E-3</v>
      </c>
      <c r="T65" s="1">
        <f t="shared" si="16"/>
        <v>-3.4198259583512226E-3</v>
      </c>
      <c r="U65" s="1">
        <f t="shared" si="17"/>
        <v>-2.017721084392834E-3</v>
      </c>
      <c r="V65">
        <v>36.177300000000002</v>
      </c>
      <c r="W65">
        <v>36.990499999999997</v>
      </c>
      <c r="X65">
        <v>36.741869999999992</v>
      </c>
      <c r="Y65">
        <v>37.953319999999998</v>
      </c>
      <c r="Z65">
        <v>37.04585999999999</v>
      </c>
      <c r="AA65">
        <v>37.664600000000007</v>
      </c>
      <c r="AB65">
        <v>36.990499999999997</v>
      </c>
      <c r="AC65">
        <v>36.990499999999997</v>
      </c>
      <c r="AD65">
        <v>36.990499999999997</v>
      </c>
      <c r="AE65" s="6">
        <f>Tabla13[[#This Row],[Calculated HEFT_NC]]/Tabla13[[#This Row],[Real HEFT_NC]]</f>
        <v>0.95544111238759255</v>
      </c>
      <c r="AF65" s="6">
        <f>Tabla13[[#This Row],[Calculated HEFT_DNC]]/Tabla13[[#This Row],[Real HEFT_DNC]]</f>
        <v>0.97495051514328857</v>
      </c>
      <c r="AG65" s="6">
        <f>Tabla13[[#This Row],[Calculated GA_NC]]/Tabla13[[#This Row],[Real GA_NC]]</f>
        <v>0.95105450631678734</v>
      </c>
      <c r="AH65" s="6">
        <f>Tabla13[[#This Row],[Calculated GA_DNC]]/Tabla13[[#This Row],[Real GA_DNC]]</f>
        <v>0.97159180944232948</v>
      </c>
      <c r="AI65" s="6">
        <f>Tabla13[[#This Row],[Calculated HGA_(Ph2)]]/Tabla13[[#This Row],[Real HGA_(Ph2)]]</f>
        <v>0.97197614732239834</v>
      </c>
      <c r="AJ65" s="6">
        <f>Tabla13[[#This Row],[Calculated HGA_(Ph1)]]/Tabla13[[#This Row],[Real HGA_(Ph1)]]</f>
        <v>0.96427423928028788</v>
      </c>
      <c r="AK65" s="6">
        <f>Tabla13[[#This Row],[Calculated HGA^H]]/Tabla13[[#This Row],[Real GA^H]]</f>
        <v>0.97478968123042675</v>
      </c>
      <c r="AL65" s="6">
        <f>Tabla13[[#This Row],[Calculated HGA_(Ph2)^H]]/Tabla13[[#This Row],[Real HGA_(Ph2)^H]]</f>
        <v>0.97358819118497431</v>
      </c>
      <c r="AM65" s="6">
        <f>Tabla13[[#This Row],[Calculated HGA_(Ph1)^H]]/Tabla13[[#This Row],[Real HGA_(Ph1)^H]]</f>
        <v>0.97495051514328857</v>
      </c>
    </row>
    <row r="66" spans="1:39">
      <c r="A66" s="6" t="str">
        <f t="shared" ref="A66:A97" si="18">LEFT(B66,FIND("-",B66)-1)</f>
        <v>montage</v>
      </c>
      <c r="B66" t="s">
        <v>14</v>
      </c>
      <c r="C66">
        <f>_xlfn.XLOOKUP(B66,Instances!$B$2:$B$29,Instances!$A$2:$A$29,,0,1)</f>
        <v>58</v>
      </c>
      <c r="D66">
        <v>16</v>
      </c>
      <c r="E66">
        <v>23.310300000000009</v>
      </c>
      <c r="F66">
        <v>22.930800000000001</v>
      </c>
      <c r="G66">
        <v>23.0138</v>
      </c>
      <c r="H66">
        <v>23.179400000000001</v>
      </c>
      <c r="I66">
        <v>23.21283</v>
      </c>
      <c r="J66">
        <v>23.201789999999999</v>
      </c>
      <c r="K66">
        <v>23.13551</v>
      </c>
      <c r="L66">
        <v>23.21283</v>
      </c>
      <c r="M66">
        <v>23.19285</v>
      </c>
      <c r="N66" s="7">
        <f t="shared" ref="N66:N97" si="19">(($E66-F66)/$E66)</f>
        <v>1.6280356752165659E-2</v>
      </c>
      <c r="O66" s="1">
        <f t="shared" ref="O66:O97" si="20">(($E66-G66)/$E66)</f>
        <v>1.2719699017173042E-2</v>
      </c>
      <c r="P66" s="1">
        <f t="shared" ref="P66:P97" si="21">(($E66-H66)/$E66)</f>
        <v>5.6155433435008352E-3</v>
      </c>
      <c r="Q66" s="1">
        <f t="shared" ref="Q66:Q97" si="22">(($E66-I66)/$E66)</f>
        <v>4.181413366623696E-3</v>
      </c>
      <c r="R66" s="1">
        <f t="shared" ref="R66:R97" si="23">(($E66-J66)/$E66)</f>
        <v>4.6550237448685612E-3</v>
      </c>
      <c r="S66" s="1">
        <f t="shared" ref="S66:S97" si="24">(($E66-K66)/$E66)</f>
        <v>7.4984019939687008E-3</v>
      </c>
      <c r="T66" s="1">
        <f t="shared" ref="T66:T97" si="25">(($E66-L66)/$E66)</f>
        <v>4.181413366623696E-3</v>
      </c>
      <c r="U66" s="1">
        <f t="shared" ref="U66:U97" si="26">(($E66-M66)/$E66)</f>
        <v>5.0385451924689377E-3</v>
      </c>
      <c r="V66">
        <v>21.4465</v>
      </c>
      <c r="W66">
        <v>22.201699999999999</v>
      </c>
      <c r="X66">
        <v>21.41112</v>
      </c>
      <c r="Y66">
        <v>22.201699999999999</v>
      </c>
      <c r="Z66">
        <v>22.201699999999999</v>
      </c>
      <c r="AA66">
        <v>22.201699999999999</v>
      </c>
      <c r="AB66">
        <v>22.201699999999999</v>
      </c>
      <c r="AC66">
        <v>22.201699999999999</v>
      </c>
      <c r="AD66">
        <v>22.201699999999999</v>
      </c>
      <c r="AE66" s="6">
        <f>Tabla13[[#This Row],[Calculated HEFT_NC]]/Tabla13[[#This Row],[Real HEFT_NC]]</f>
        <v>0.92004392907856147</v>
      </c>
      <c r="AF66" s="6">
        <f>Tabla13[[#This Row],[Calculated HEFT_DNC]]/Tabla13[[#This Row],[Real HEFT_DNC]]</f>
        <v>0.96820433652554627</v>
      </c>
      <c r="AG66" s="6">
        <f>Tabla13[[#This Row],[Calculated GA_NC]]/Tabla13[[#This Row],[Real GA_NC]]</f>
        <v>0.93036004484265966</v>
      </c>
      <c r="AH66" s="6">
        <f>Tabla13[[#This Row],[Calculated GA_DNC]]/Tabla13[[#This Row],[Real GA_DNC]]</f>
        <v>0.95782030596132761</v>
      </c>
      <c r="AI66" s="6">
        <f>Tabla13[[#This Row],[Calculated HGA_(Ph2)]]/Tabla13[[#This Row],[Real HGA_(Ph2)]]</f>
        <v>0.95644089927854548</v>
      </c>
      <c r="AJ66" s="6">
        <f>Tabla13[[#This Row],[Calculated HGA_(Ph1)]]/Tabla13[[#This Row],[Real HGA_(Ph1)]]</f>
        <v>0.95689599811049064</v>
      </c>
      <c r="AK66" s="6">
        <f>Tabla13[[#This Row],[Calculated HGA^H]]/Tabla13[[#This Row],[Real GA^H]]</f>
        <v>0.95963737129633186</v>
      </c>
      <c r="AL66" s="6">
        <f>Tabla13[[#This Row],[Calculated HGA_(Ph2)^H]]/Tabla13[[#This Row],[Real HGA_(Ph2)^H]]</f>
        <v>0.95644089927854548</v>
      </c>
      <c r="AM66" s="6">
        <f>Tabla13[[#This Row],[Calculated HGA_(Ph1)^H]]/Tabla13[[#This Row],[Real HGA_(Ph1)^H]]</f>
        <v>0.95726484670922285</v>
      </c>
    </row>
    <row r="67" spans="1:39">
      <c r="A67" s="6" t="str">
        <f t="shared" si="18"/>
        <v>montage</v>
      </c>
      <c r="B67" t="s">
        <v>15</v>
      </c>
      <c r="C67">
        <f>_xlfn.XLOOKUP(B67,Instances!$B$2:$B$29,Instances!$A$2:$A$29,,0,1)</f>
        <v>103</v>
      </c>
      <c r="D67">
        <v>1</v>
      </c>
      <c r="E67">
        <v>377.39199999999988</v>
      </c>
      <c r="F67">
        <v>377.39199999999988</v>
      </c>
      <c r="G67">
        <v>377.39199999999988</v>
      </c>
      <c r="H67">
        <v>377.39199999999988</v>
      </c>
      <c r="I67">
        <v>377.39199999999988</v>
      </c>
      <c r="J67">
        <v>377.39199999999988</v>
      </c>
      <c r="K67">
        <v>377.39199999999988</v>
      </c>
      <c r="L67">
        <v>377.39199999999988</v>
      </c>
      <c r="M67">
        <v>377.39199999999988</v>
      </c>
      <c r="N67" s="7">
        <f t="shared" si="19"/>
        <v>0</v>
      </c>
      <c r="O67" s="1">
        <f t="shared" si="20"/>
        <v>0</v>
      </c>
      <c r="P67" s="1">
        <f t="shared" si="21"/>
        <v>0</v>
      </c>
      <c r="Q67" s="1">
        <f t="shared" si="22"/>
        <v>0</v>
      </c>
      <c r="R67" s="1">
        <f t="shared" si="23"/>
        <v>0</v>
      </c>
      <c r="S67" s="1">
        <f t="shared" si="24"/>
        <v>0</v>
      </c>
      <c r="T67" s="1">
        <f t="shared" si="25"/>
        <v>0</v>
      </c>
      <c r="U67" s="1">
        <f t="shared" si="26"/>
        <v>0</v>
      </c>
      <c r="V67">
        <v>362.63299999999992</v>
      </c>
      <c r="W67">
        <v>377.21899999999999</v>
      </c>
      <c r="X67">
        <v>362.63299999999992</v>
      </c>
      <c r="Y67">
        <v>377.21899999999999</v>
      </c>
      <c r="Z67">
        <v>377.21899999999999</v>
      </c>
      <c r="AA67">
        <v>377.21899999999999</v>
      </c>
      <c r="AB67">
        <v>377.21899999999999</v>
      </c>
      <c r="AC67">
        <v>377.21899999999999</v>
      </c>
      <c r="AD67">
        <v>377.21899999999999</v>
      </c>
      <c r="AE67" s="6">
        <f>Tabla13[[#This Row],[Calculated HEFT_NC]]/Tabla13[[#This Row],[Real HEFT_NC]]</f>
        <v>0.96089212277949732</v>
      </c>
      <c r="AF67" s="6">
        <f>Tabla13[[#This Row],[Calculated HEFT_DNC]]/Tabla13[[#This Row],[Real HEFT_DNC]]</f>
        <v>0.99954159070674553</v>
      </c>
      <c r="AG67" s="6">
        <f>Tabla13[[#This Row],[Calculated GA_NC]]/Tabla13[[#This Row],[Real GA_NC]]</f>
        <v>0.96089212277949732</v>
      </c>
      <c r="AH67" s="6">
        <f>Tabla13[[#This Row],[Calculated GA_DNC]]/Tabla13[[#This Row],[Real GA_DNC]]</f>
        <v>0.99954159070674553</v>
      </c>
      <c r="AI67" s="6">
        <f>Tabla13[[#This Row],[Calculated HGA_(Ph2)]]/Tabla13[[#This Row],[Real HGA_(Ph2)]]</f>
        <v>0.99954159070674553</v>
      </c>
      <c r="AJ67" s="6">
        <f>Tabla13[[#This Row],[Calculated HGA_(Ph1)]]/Tabla13[[#This Row],[Real HGA_(Ph1)]]</f>
        <v>0.99954159070674553</v>
      </c>
      <c r="AK67" s="6">
        <f>Tabla13[[#This Row],[Calculated HGA^H]]/Tabla13[[#This Row],[Real GA^H]]</f>
        <v>0.99954159070674553</v>
      </c>
      <c r="AL67" s="6">
        <f>Tabla13[[#This Row],[Calculated HGA_(Ph2)^H]]/Tabla13[[#This Row],[Real HGA_(Ph2)^H]]</f>
        <v>0.99954159070674553</v>
      </c>
      <c r="AM67" s="6">
        <f>Tabla13[[#This Row],[Calculated HGA_(Ph1)^H]]/Tabla13[[#This Row],[Real HGA_(Ph1)^H]]</f>
        <v>0.99954159070674553</v>
      </c>
    </row>
    <row r="68" spans="1:39">
      <c r="A68" s="6" t="str">
        <f t="shared" si="18"/>
        <v>montage</v>
      </c>
      <c r="B68" t="s">
        <v>15</v>
      </c>
      <c r="C68">
        <f>_xlfn.XLOOKUP(B68,Instances!$B$2:$B$29,Instances!$A$2:$A$29,,0,1)</f>
        <v>103</v>
      </c>
      <c r="D68">
        <v>2</v>
      </c>
      <c r="E68">
        <v>194.62200000000001</v>
      </c>
      <c r="F68">
        <v>194.16200000000001</v>
      </c>
      <c r="G68">
        <v>196.39869999999999</v>
      </c>
      <c r="H68">
        <v>193.60550000000001</v>
      </c>
      <c r="I68">
        <v>193.47569999999999</v>
      </c>
      <c r="J68">
        <v>193.65530000000001</v>
      </c>
      <c r="K68">
        <v>193.24279999999999</v>
      </c>
      <c r="L68">
        <v>193.6499</v>
      </c>
      <c r="M68">
        <v>193.89099999999999</v>
      </c>
      <c r="N68" s="7">
        <f t="shared" si="19"/>
        <v>2.3635560214159135E-3</v>
      </c>
      <c r="O68" s="1">
        <f t="shared" si="20"/>
        <v>-9.1289782244554918E-3</v>
      </c>
      <c r="P68" s="1">
        <f t="shared" si="21"/>
        <v>5.2229449908027239E-3</v>
      </c>
      <c r="Q68" s="1">
        <f t="shared" si="22"/>
        <v>5.8898788420632042E-3</v>
      </c>
      <c r="R68" s="1">
        <f t="shared" si="23"/>
        <v>4.9670643606581112E-3</v>
      </c>
      <c r="S68" s="1">
        <f t="shared" si="24"/>
        <v>7.0865575320365921E-3</v>
      </c>
      <c r="T68" s="1">
        <f t="shared" si="25"/>
        <v>4.9948104530834732E-3</v>
      </c>
      <c r="U68" s="1">
        <f t="shared" si="26"/>
        <v>3.7559988079457767E-3</v>
      </c>
      <c r="V68">
        <v>186.27799999999999</v>
      </c>
      <c r="W68">
        <v>191.55699999999999</v>
      </c>
      <c r="X68">
        <v>182.14359999999999</v>
      </c>
      <c r="Y68">
        <v>188.66220000000001</v>
      </c>
      <c r="Z68">
        <v>188.62010000000001</v>
      </c>
      <c r="AA68">
        <v>190.8784</v>
      </c>
      <c r="AB68">
        <v>188.62479999999999</v>
      </c>
      <c r="AC68">
        <v>188.60900000000001</v>
      </c>
      <c r="AD68">
        <v>191.02099999999999</v>
      </c>
      <c r="AE68" s="6">
        <f>Tabla13[[#This Row],[Calculated HEFT_NC]]/Tabla13[[#This Row],[Real HEFT_NC]]</f>
        <v>0.95712714903762153</v>
      </c>
      <c r="AF68" s="6">
        <f>Tabla13[[#This Row],[Calculated HEFT_DNC]]/Tabla13[[#This Row],[Real HEFT_DNC]]</f>
        <v>0.9865833685273121</v>
      </c>
      <c r="AG68" s="6">
        <f>Tabla13[[#This Row],[Calculated GA_NC]]/Tabla13[[#This Row],[Real GA_NC]]</f>
        <v>0.92741754400614673</v>
      </c>
      <c r="AH68" s="6">
        <f>Tabla13[[#This Row],[Calculated GA_DNC]]/Tabla13[[#This Row],[Real GA_DNC]]</f>
        <v>0.97446715098486358</v>
      </c>
      <c r="AI68" s="6">
        <f>Tabla13[[#This Row],[Calculated HGA_(Ph2)]]/Tabla13[[#This Row],[Real HGA_(Ph2)]]</f>
        <v>0.97490330827075455</v>
      </c>
      <c r="AJ68" s="6">
        <f>Tabla13[[#This Row],[Calculated HGA_(Ph1)]]/Tabla13[[#This Row],[Real HGA_(Ph1)]]</f>
        <v>0.98566060417659618</v>
      </c>
      <c r="AK68" s="6">
        <f>Tabla13[[#This Row],[Calculated HGA^H]]/Tabla13[[#This Row],[Real GA^H]]</f>
        <v>0.97610260252904635</v>
      </c>
      <c r="AL68" s="6">
        <f>Tabla13[[#This Row],[Calculated HGA_(Ph2)^H]]/Tabla13[[#This Row],[Real HGA_(Ph2)^H]]</f>
        <v>0.97396900282416876</v>
      </c>
      <c r="AM68" s="6">
        <f>Tabla13[[#This Row],[Calculated HGA_(Ph1)^H]]/Tabla13[[#This Row],[Real HGA_(Ph1)^H]]</f>
        <v>0.98519786890572536</v>
      </c>
    </row>
    <row r="69" spans="1:39">
      <c r="A69" s="6" t="str">
        <f t="shared" si="18"/>
        <v>montage</v>
      </c>
      <c r="B69" t="s">
        <v>15</v>
      </c>
      <c r="C69">
        <f>_xlfn.XLOOKUP(B69,Instances!$B$2:$B$29,Instances!$A$2:$A$29,,0,1)</f>
        <v>103</v>
      </c>
      <c r="D69">
        <v>4</v>
      </c>
      <c r="E69">
        <v>106.46299999999999</v>
      </c>
      <c r="F69">
        <v>106.29600000000001</v>
      </c>
      <c r="G69">
        <v>103.5367</v>
      </c>
      <c r="H69">
        <v>104.45820000000001</v>
      </c>
      <c r="I69">
        <v>102.3755</v>
      </c>
      <c r="J69">
        <v>106.41</v>
      </c>
      <c r="K69">
        <v>103.9008</v>
      </c>
      <c r="L69">
        <v>102.0908</v>
      </c>
      <c r="M69">
        <v>106.2568</v>
      </c>
      <c r="N69" s="7">
        <f t="shared" si="19"/>
        <v>1.5686200839727172E-3</v>
      </c>
      <c r="O69" s="1">
        <f t="shared" si="20"/>
        <v>2.748654462113596E-2</v>
      </c>
      <c r="P69" s="1">
        <f t="shared" si="21"/>
        <v>1.8830955355381578E-2</v>
      </c>
      <c r="Q69" s="1">
        <f t="shared" si="22"/>
        <v>3.8393620318796125E-2</v>
      </c>
      <c r="R69" s="1">
        <f t="shared" si="23"/>
        <v>4.9782553563207192E-4</v>
      </c>
      <c r="S69" s="1">
        <f t="shared" si="24"/>
        <v>2.4066577120689724E-2</v>
      </c>
      <c r="T69" s="1">
        <f t="shared" si="25"/>
        <v>4.1067788809257606E-2</v>
      </c>
      <c r="U69" s="1">
        <f t="shared" si="26"/>
        <v>1.9368231216478542E-3</v>
      </c>
      <c r="V69">
        <v>100.715</v>
      </c>
      <c r="W69">
        <v>103.46</v>
      </c>
      <c r="X69">
        <v>99.35378</v>
      </c>
      <c r="Y69">
        <v>102.4272</v>
      </c>
      <c r="Z69">
        <v>100.5027</v>
      </c>
      <c r="AA69">
        <v>103.76949999999999</v>
      </c>
      <c r="AB69">
        <v>101.40649999999999</v>
      </c>
      <c r="AC69">
        <v>100.40309999999999</v>
      </c>
      <c r="AD69">
        <v>103.4413</v>
      </c>
      <c r="AE69" s="6">
        <f>Tabla13[[#This Row],[Calculated HEFT_NC]]/Tabla13[[#This Row],[Real HEFT_NC]]</f>
        <v>0.9460094117205039</v>
      </c>
      <c r="AF69" s="6">
        <f>Tabla13[[#This Row],[Calculated HEFT_DNC]]/Tabla13[[#This Row],[Real HEFT_DNC]]</f>
        <v>0.9733197862572438</v>
      </c>
      <c r="AG69" s="6">
        <f>Tabla13[[#This Row],[Calculated GA_NC]]/Tabla13[[#This Row],[Real GA_NC]]</f>
        <v>0.95959963954810235</v>
      </c>
      <c r="AH69" s="6">
        <f>Tabla13[[#This Row],[Calculated GA_DNC]]/Tabla13[[#This Row],[Real GA_DNC]]</f>
        <v>0.9805568160278465</v>
      </c>
      <c r="AI69" s="6">
        <f>Tabla13[[#This Row],[Calculated HGA_(Ph2)]]/Tabla13[[#This Row],[Real HGA_(Ph2)]]</f>
        <v>0.98170656065171846</v>
      </c>
      <c r="AJ69" s="6">
        <f>Tabla13[[#This Row],[Calculated HGA_(Ph1)]]/Tabla13[[#This Row],[Real HGA_(Ph1)]]</f>
        <v>0.97518560285687428</v>
      </c>
      <c r="AK69" s="6">
        <f>Tabla13[[#This Row],[Calculated HGA^H]]/Tabla13[[#This Row],[Real GA^H]]</f>
        <v>0.97599344759616857</v>
      </c>
      <c r="AL69" s="6">
        <f>Tabla13[[#This Row],[Calculated HGA_(Ph2)^H]]/Tabla13[[#This Row],[Real HGA_(Ph2)^H]]</f>
        <v>0.98346863772249793</v>
      </c>
      <c r="AM69" s="6">
        <f>Tabla13[[#This Row],[Calculated HGA_(Ph1)^H]]/Tabla13[[#This Row],[Real HGA_(Ph1)^H]]</f>
        <v>0.97350287228676191</v>
      </c>
    </row>
    <row r="70" spans="1:39">
      <c r="A70" s="6" t="str">
        <f t="shared" si="18"/>
        <v>montage</v>
      </c>
      <c r="B70" t="s">
        <v>15</v>
      </c>
      <c r="C70">
        <f>_xlfn.XLOOKUP(B70,Instances!$B$2:$B$29,Instances!$A$2:$A$29,,0,1)</f>
        <v>103</v>
      </c>
      <c r="D70">
        <v>8</v>
      </c>
      <c r="E70">
        <v>59.729500000000009</v>
      </c>
      <c r="F70">
        <v>58.309699999999999</v>
      </c>
      <c r="G70">
        <v>58.03043000000001</v>
      </c>
      <c r="H70">
        <v>57.543089999999992</v>
      </c>
      <c r="I70">
        <v>55.758189999999999</v>
      </c>
      <c r="J70">
        <v>59.017330000000001</v>
      </c>
      <c r="K70">
        <v>56.882809999999992</v>
      </c>
      <c r="L70">
        <v>56.033459999999991</v>
      </c>
      <c r="M70">
        <v>58.309699999999999</v>
      </c>
      <c r="N70" s="7">
        <f t="shared" si="19"/>
        <v>2.3770498664814021E-2</v>
      </c>
      <c r="O70" s="1">
        <f t="shared" si="20"/>
        <v>2.8446077733783118E-2</v>
      </c>
      <c r="P70" s="1">
        <f t="shared" si="21"/>
        <v>3.6605195087854682E-2</v>
      </c>
      <c r="Q70" s="1">
        <f t="shared" si="22"/>
        <v>6.6488251199156342E-2</v>
      </c>
      <c r="R70" s="1">
        <f t="shared" si="23"/>
        <v>1.1923254003465748E-2</v>
      </c>
      <c r="S70" s="1">
        <f t="shared" si="24"/>
        <v>4.765969914363951E-2</v>
      </c>
      <c r="T70" s="1">
        <f t="shared" si="25"/>
        <v>6.1879640713550545E-2</v>
      </c>
      <c r="U70" s="1">
        <f t="shared" si="26"/>
        <v>2.3770498664814021E-2</v>
      </c>
      <c r="V70">
        <v>52.270099999999999</v>
      </c>
      <c r="W70">
        <v>54.48810000000001</v>
      </c>
      <c r="X70">
        <v>52.871940000000009</v>
      </c>
      <c r="Y70">
        <v>55.023249999999997</v>
      </c>
      <c r="Z70">
        <v>53.674969999999988</v>
      </c>
      <c r="AA70">
        <v>55.924430000000008</v>
      </c>
      <c r="AB70">
        <v>54.203040000000009</v>
      </c>
      <c r="AC70">
        <v>53.634839999999997</v>
      </c>
      <c r="AD70">
        <v>54.48810000000001</v>
      </c>
      <c r="AE70" s="6">
        <f>Tabla13[[#This Row],[Calculated HEFT_NC]]/Tabla13[[#This Row],[Real HEFT_NC]]</f>
        <v>0.87511363731489455</v>
      </c>
      <c r="AF70" s="6">
        <f>Tabla13[[#This Row],[Calculated HEFT_DNC]]/Tabla13[[#This Row],[Real HEFT_DNC]]</f>
        <v>0.93446030420324599</v>
      </c>
      <c r="AG70" s="6">
        <f>Tabla13[[#This Row],[Calculated GA_NC]]/Tabla13[[#This Row],[Real GA_NC]]</f>
        <v>0.91110715533212494</v>
      </c>
      <c r="AH70" s="6">
        <f>Tabla13[[#This Row],[Calculated GA_DNC]]/Tabla13[[#This Row],[Real GA_DNC]]</f>
        <v>0.95620951186319691</v>
      </c>
      <c r="AI70" s="6">
        <f>Tabla13[[#This Row],[Calculated HGA_(Ph2)]]/Tabla13[[#This Row],[Real HGA_(Ph2)]]</f>
        <v>0.96263831376161935</v>
      </c>
      <c r="AJ70" s="6">
        <f>Tabla13[[#This Row],[Calculated HGA_(Ph1)]]/Tabla13[[#This Row],[Real HGA_(Ph1)]]</f>
        <v>0.9475933594420487</v>
      </c>
      <c r="AK70" s="6">
        <f>Tabla13[[#This Row],[Calculated HGA^H]]/Tabla13[[#This Row],[Real GA^H]]</f>
        <v>0.95288963396850501</v>
      </c>
      <c r="AL70" s="6">
        <f>Tabla13[[#This Row],[Calculated HGA_(Ph2)^H]]/Tabla13[[#This Row],[Real HGA_(Ph2)^H]]</f>
        <v>0.95719307713641111</v>
      </c>
      <c r="AM70" s="6">
        <f>Tabla13[[#This Row],[Calculated HGA_(Ph1)^H]]/Tabla13[[#This Row],[Real HGA_(Ph1)^H]]</f>
        <v>0.93446030420324599</v>
      </c>
    </row>
    <row r="71" spans="1:39">
      <c r="A71" s="6" t="str">
        <f t="shared" si="18"/>
        <v>montage</v>
      </c>
      <c r="B71" t="s">
        <v>15</v>
      </c>
      <c r="C71">
        <f>_xlfn.XLOOKUP(B71,Instances!$B$2:$B$29,Instances!$A$2:$A$29,,0,1)</f>
        <v>103</v>
      </c>
      <c r="D71">
        <v>16</v>
      </c>
      <c r="E71">
        <v>39.595300000000002</v>
      </c>
      <c r="F71">
        <v>39.161000000000001</v>
      </c>
      <c r="G71">
        <v>39.482219999999998</v>
      </c>
      <c r="H71">
        <v>39.656840000000003</v>
      </c>
      <c r="I71">
        <v>38.979780000000012</v>
      </c>
      <c r="J71">
        <v>40.307510000000001</v>
      </c>
      <c r="K71">
        <v>39.10277</v>
      </c>
      <c r="L71">
        <v>38.94849</v>
      </c>
      <c r="M71">
        <v>39.161000000000001</v>
      </c>
      <c r="N71" s="7">
        <f t="shared" si="19"/>
        <v>1.0968473530949388E-2</v>
      </c>
      <c r="O71" s="1">
        <f t="shared" si="20"/>
        <v>2.8558945127326631E-3</v>
      </c>
      <c r="P71" s="1">
        <f t="shared" si="21"/>
        <v>-1.5542248701234948E-3</v>
      </c>
      <c r="Q71" s="1">
        <f t="shared" si="22"/>
        <v>1.5545279363964647E-2</v>
      </c>
      <c r="R71" s="1">
        <f t="shared" si="23"/>
        <v>-1.7987235858801395E-2</v>
      </c>
      <c r="S71" s="1">
        <f t="shared" si="24"/>
        <v>1.2439102620765649E-2</v>
      </c>
      <c r="T71" s="1">
        <f t="shared" si="25"/>
        <v>1.6335524670857453E-2</v>
      </c>
      <c r="U71" s="1">
        <f t="shared" si="26"/>
        <v>1.0968473530949388E-2</v>
      </c>
      <c r="V71">
        <v>35.53609999999999</v>
      </c>
      <c r="W71">
        <v>36.997100000000003</v>
      </c>
      <c r="X71">
        <v>35.783299999999997</v>
      </c>
      <c r="Y71">
        <v>37.567489999999999</v>
      </c>
      <c r="Z71">
        <v>36.950740000000003</v>
      </c>
      <c r="AA71">
        <v>37.850160000000002</v>
      </c>
      <c r="AB71">
        <v>36.997100000000003</v>
      </c>
      <c r="AC71">
        <v>36.923200000000001</v>
      </c>
      <c r="AD71">
        <v>36.997100000000003</v>
      </c>
      <c r="AE71" s="6">
        <f>Tabla13[[#This Row],[Calculated HEFT_NC]]/Tabla13[[#This Row],[Real HEFT_NC]]</f>
        <v>0.89748278204736398</v>
      </c>
      <c r="AF71" s="6">
        <f>Tabla13[[#This Row],[Calculated HEFT_DNC]]/Tabla13[[#This Row],[Real HEFT_DNC]]</f>
        <v>0.9447434948035035</v>
      </c>
      <c r="AG71" s="6">
        <f>Tabla13[[#This Row],[Calculated GA_NC]]/Tabla13[[#This Row],[Real GA_NC]]</f>
        <v>0.90631428526562074</v>
      </c>
      <c r="AH71" s="6">
        <f>Tabla13[[#This Row],[Calculated GA_DNC]]/Tabla13[[#This Row],[Real GA_DNC]]</f>
        <v>0.94731425902820288</v>
      </c>
      <c r="AI71" s="6">
        <f>Tabla13[[#This Row],[Calculated HGA_(Ph2)]]/Tabla13[[#This Row],[Real HGA_(Ph2)]]</f>
        <v>0.94794634551554657</v>
      </c>
      <c r="AJ71" s="6">
        <f>Tabla13[[#This Row],[Calculated HGA_(Ph1)]]/Tabla13[[#This Row],[Real HGA_(Ph1)]]</f>
        <v>0.9390349341847215</v>
      </c>
      <c r="AK71" s="6">
        <f>Tabla13[[#This Row],[Calculated HGA^H]]/Tabla13[[#This Row],[Real GA^H]]</f>
        <v>0.94615036223776483</v>
      </c>
      <c r="AL71" s="6">
        <f>Tabla13[[#This Row],[Calculated HGA_(Ph2)^H]]/Tabla13[[#This Row],[Real HGA_(Ph2)^H]]</f>
        <v>0.94800080824699495</v>
      </c>
      <c r="AM71" s="6">
        <f>Tabla13[[#This Row],[Calculated HGA_(Ph1)^H]]/Tabla13[[#This Row],[Real HGA_(Ph1)^H]]</f>
        <v>0.9447434948035035</v>
      </c>
    </row>
    <row r="72" spans="1:39">
      <c r="A72" s="6" t="str">
        <f t="shared" si="18"/>
        <v>montage</v>
      </c>
      <c r="B72" t="s">
        <v>16</v>
      </c>
      <c r="C72">
        <f>_xlfn.XLOOKUP(B72,Instances!$B$2:$B$29,Instances!$A$2:$A$29,,0,1)</f>
        <v>472</v>
      </c>
      <c r="D72">
        <v>1</v>
      </c>
      <c r="E72">
        <v>37965.199999999997</v>
      </c>
      <c r="F72">
        <v>37965.199999999997</v>
      </c>
      <c r="G72">
        <v>37965.199999999997</v>
      </c>
      <c r="H72">
        <v>37965.199999999997</v>
      </c>
      <c r="I72">
        <v>37965.199999999997</v>
      </c>
      <c r="J72">
        <v>37965.199999999997</v>
      </c>
      <c r="K72">
        <v>37965.199999999997</v>
      </c>
      <c r="L72">
        <v>37965.199999999997</v>
      </c>
      <c r="M72">
        <v>37965.199999999997</v>
      </c>
      <c r="N72" s="7">
        <f t="shared" si="19"/>
        <v>0</v>
      </c>
      <c r="O72" s="1">
        <f t="shared" si="20"/>
        <v>0</v>
      </c>
      <c r="P72" s="1">
        <f t="shared" si="21"/>
        <v>0</v>
      </c>
      <c r="Q72" s="1">
        <f t="shared" si="22"/>
        <v>0</v>
      </c>
      <c r="R72" s="1">
        <f t="shared" si="23"/>
        <v>0</v>
      </c>
      <c r="S72" s="1">
        <f t="shared" si="24"/>
        <v>0</v>
      </c>
      <c r="T72" s="1">
        <f t="shared" si="25"/>
        <v>0</v>
      </c>
      <c r="U72" s="1">
        <f t="shared" si="26"/>
        <v>0</v>
      </c>
      <c r="V72">
        <v>37089.300000000003</v>
      </c>
      <c r="W72">
        <v>37964.699999999997</v>
      </c>
      <c r="X72">
        <v>37089.300000000003</v>
      </c>
      <c r="Y72">
        <v>37964.699999999997</v>
      </c>
      <c r="Z72">
        <v>37964.699999999997</v>
      </c>
      <c r="AA72">
        <v>37964.699999999997</v>
      </c>
      <c r="AB72">
        <v>37964.699999999997</v>
      </c>
      <c r="AC72">
        <v>37964.699999999997</v>
      </c>
      <c r="AD72">
        <v>37964.699999999997</v>
      </c>
      <c r="AE72" s="6">
        <f>Tabla13[[#This Row],[Calculated HEFT_NC]]/Tabla13[[#This Row],[Real HEFT_NC]]</f>
        <v>0.97692887170356024</v>
      </c>
      <c r="AF72" s="6">
        <f>Tabla13[[#This Row],[Calculated HEFT_DNC]]/Tabla13[[#This Row],[Real HEFT_DNC]]</f>
        <v>0.9999868300443564</v>
      </c>
      <c r="AG72" s="6">
        <f>Tabla13[[#This Row],[Calculated GA_NC]]/Tabla13[[#This Row],[Real GA_NC]]</f>
        <v>0.97692887170356024</v>
      </c>
      <c r="AH72" s="6">
        <f>Tabla13[[#This Row],[Calculated GA_DNC]]/Tabla13[[#This Row],[Real GA_DNC]]</f>
        <v>0.9999868300443564</v>
      </c>
      <c r="AI72" s="6">
        <f>Tabla13[[#This Row],[Calculated HGA_(Ph2)]]/Tabla13[[#This Row],[Real HGA_(Ph2)]]</f>
        <v>0.9999868300443564</v>
      </c>
      <c r="AJ72" s="6">
        <f>Tabla13[[#This Row],[Calculated HGA_(Ph1)]]/Tabla13[[#This Row],[Real HGA_(Ph1)]]</f>
        <v>0.9999868300443564</v>
      </c>
      <c r="AK72" s="6">
        <f>Tabla13[[#This Row],[Calculated HGA^H]]/Tabla13[[#This Row],[Real GA^H]]</f>
        <v>0.9999868300443564</v>
      </c>
      <c r="AL72" s="6">
        <f>Tabla13[[#This Row],[Calculated HGA_(Ph2)^H]]/Tabla13[[#This Row],[Real HGA_(Ph2)^H]]</f>
        <v>0.9999868300443564</v>
      </c>
      <c r="AM72" s="6">
        <f>Tabla13[[#This Row],[Calculated HGA_(Ph1)^H]]/Tabla13[[#This Row],[Real HGA_(Ph1)^H]]</f>
        <v>0.9999868300443564</v>
      </c>
    </row>
    <row r="73" spans="1:39">
      <c r="A73" s="6" t="str">
        <f t="shared" si="18"/>
        <v>montage</v>
      </c>
      <c r="B73" t="s">
        <v>16</v>
      </c>
      <c r="C73">
        <f>_xlfn.XLOOKUP(B73,Instances!$B$2:$B$29,Instances!$A$2:$A$29,,0,1)</f>
        <v>472</v>
      </c>
      <c r="D73">
        <v>2</v>
      </c>
      <c r="E73">
        <v>19280.400000000001</v>
      </c>
      <c r="F73">
        <v>19210.900000000001</v>
      </c>
      <c r="G73">
        <v>19198.310000000001</v>
      </c>
      <c r="H73">
        <v>19118.45</v>
      </c>
      <c r="I73">
        <v>19117.060000000001</v>
      </c>
      <c r="J73">
        <v>19209.650000000001</v>
      </c>
      <c r="K73">
        <v>19189.990000000002</v>
      </c>
      <c r="L73">
        <v>19195.29</v>
      </c>
      <c r="M73">
        <v>19209.79</v>
      </c>
      <c r="N73" s="7">
        <f t="shared" si="19"/>
        <v>3.6046969979875933E-3</v>
      </c>
      <c r="O73" s="1">
        <f t="shared" si="20"/>
        <v>4.2576917491338427E-3</v>
      </c>
      <c r="P73" s="1">
        <f t="shared" si="21"/>
        <v>8.3997219974689692E-3</v>
      </c>
      <c r="Q73" s="1">
        <f t="shared" si="22"/>
        <v>8.4718159374286908E-3</v>
      </c>
      <c r="R73" s="1">
        <f t="shared" si="23"/>
        <v>3.669529677807514E-3</v>
      </c>
      <c r="S73" s="1">
        <f t="shared" si="24"/>
        <v>4.6892180660152204E-3</v>
      </c>
      <c r="T73" s="1">
        <f t="shared" si="25"/>
        <v>4.4143275035787941E-3</v>
      </c>
      <c r="U73" s="1">
        <f t="shared" si="26"/>
        <v>3.6622684176677131E-3</v>
      </c>
      <c r="V73">
        <v>18545.5</v>
      </c>
      <c r="W73">
        <v>18983.8</v>
      </c>
      <c r="X73">
        <v>18545.400000000001</v>
      </c>
      <c r="Y73">
        <v>18982.810000000001</v>
      </c>
      <c r="Z73">
        <v>18982.71</v>
      </c>
      <c r="AA73">
        <v>18989.09</v>
      </c>
      <c r="AB73">
        <v>18982.400000000001</v>
      </c>
      <c r="AC73">
        <v>18982.400000000001</v>
      </c>
      <c r="AD73">
        <v>18983.8</v>
      </c>
      <c r="AE73" s="6">
        <f>Tabla13[[#This Row],[Calculated HEFT_NC]]/Tabla13[[#This Row],[Real HEFT_NC]]</f>
        <v>0.9618835708802721</v>
      </c>
      <c r="AF73" s="6">
        <f>Tabla13[[#This Row],[Calculated HEFT_DNC]]/Tabla13[[#This Row],[Real HEFT_DNC]]</f>
        <v>0.98817858611517406</v>
      </c>
      <c r="AG73" s="6">
        <f>Tabla13[[#This Row],[Calculated GA_NC]]/Tabla13[[#This Row],[Real GA_NC]]</f>
        <v>0.96599127735722568</v>
      </c>
      <c r="AH73" s="6">
        <f>Tabla13[[#This Row],[Calculated GA_DNC]]/Tabla13[[#This Row],[Real GA_DNC]]</f>
        <v>0.99290528259351574</v>
      </c>
      <c r="AI73" s="6">
        <f>Tabla13[[#This Row],[Calculated HGA_(Ph2)]]/Tabla13[[#This Row],[Real HGA_(Ph2)]]</f>
        <v>0.99297224573234577</v>
      </c>
      <c r="AJ73" s="6">
        <f>Tabla13[[#This Row],[Calculated HGA_(Ph1)]]/Tabla13[[#This Row],[Real HGA_(Ph1)]]</f>
        <v>0.98851827076495402</v>
      </c>
      <c r="AK73" s="6">
        <f>Tabla13[[#This Row],[Calculated HGA^H]]/Tabla13[[#This Row],[Real GA^H]]</f>
        <v>0.98918238102260603</v>
      </c>
      <c r="AL73" s="6">
        <f>Tabla13[[#This Row],[Calculated HGA_(Ph2)^H]]/Tabla13[[#This Row],[Real HGA_(Ph2)^H]]</f>
        <v>0.98890925846913491</v>
      </c>
      <c r="AM73" s="6">
        <f>Tabla13[[#This Row],[Calculated HGA_(Ph1)^H]]/Tabla13[[#This Row],[Real HGA_(Ph1)^H]]</f>
        <v>0.98823568607465251</v>
      </c>
    </row>
    <row r="74" spans="1:39">
      <c r="A74" s="6" t="str">
        <f t="shared" si="18"/>
        <v>montage</v>
      </c>
      <c r="B74" t="s">
        <v>16</v>
      </c>
      <c r="C74">
        <f>_xlfn.XLOOKUP(B74,Instances!$B$2:$B$29,Instances!$A$2:$A$29,,0,1)</f>
        <v>472</v>
      </c>
      <c r="D74">
        <v>4</v>
      </c>
      <c r="E74">
        <v>9836.0400000000027</v>
      </c>
      <c r="F74">
        <v>9738.2400000000016</v>
      </c>
      <c r="G74">
        <v>9777.7160000000003</v>
      </c>
      <c r="H74">
        <v>9729.7859999999982</v>
      </c>
      <c r="I74">
        <v>9663.9919999999984</v>
      </c>
      <c r="J74">
        <v>9814.6810000000005</v>
      </c>
      <c r="K74">
        <v>9725.4589999999989</v>
      </c>
      <c r="L74">
        <v>9724.0850000000009</v>
      </c>
      <c r="M74">
        <v>9738.2400000000016</v>
      </c>
      <c r="N74" s="7">
        <f t="shared" si="19"/>
        <v>9.9430258518673226E-3</v>
      </c>
      <c r="O74" s="1">
        <f t="shared" si="20"/>
        <v>5.9296220836843206E-3</v>
      </c>
      <c r="P74" s="1">
        <f t="shared" si="21"/>
        <v>1.0802518086547475E-2</v>
      </c>
      <c r="Q74" s="1">
        <f t="shared" si="22"/>
        <v>1.7491592144806677E-2</v>
      </c>
      <c r="R74" s="1">
        <f t="shared" si="23"/>
        <v>2.1715039792439021E-3</v>
      </c>
      <c r="S74" s="1">
        <f t="shared" si="24"/>
        <v>1.124243089698738E-2</v>
      </c>
      <c r="T74" s="1">
        <f t="shared" si="25"/>
        <v>1.1382121260182117E-2</v>
      </c>
      <c r="U74" s="1">
        <f t="shared" si="26"/>
        <v>9.9430258518673226E-3</v>
      </c>
      <c r="V74">
        <v>9282.27</v>
      </c>
      <c r="W74">
        <v>9509.9699999999993</v>
      </c>
      <c r="X74">
        <v>9387.0779999999995</v>
      </c>
      <c r="Y74">
        <v>9576.134</v>
      </c>
      <c r="Z74">
        <v>9507.5310000000009</v>
      </c>
      <c r="AA74">
        <v>9632.9069999999992</v>
      </c>
      <c r="AB74">
        <v>9508.121000000001</v>
      </c>
      <c r="AC74">
        <v>9507.5220000000008</v>
      </c>
      <c r="AD74">
        <v>9509.9699999999993</v>
      </c>
      <c r="AE74" s="6">
        <f>Tabla13[[#This Row],[Calculated HEFT_NC]]/Tabla13[[#This Row],[Real HEFT_NC]]</f>
        <v>0.9436999036197492</v>
      </c>
      <c r="AF74" s="6">
        <f>Tabla13[[#This Row],[Calculated HEFT_DNC]]/Tabla13[[#This Row],[Real HEFT_DNC]]</f>
        <v>0.9765594193611985</v>
      </c>
      <c r="AG74" s="6">
        <f>Tabla13[[#This Row],[Calculated GA_NC]]/Tabla13[[#This Row],[Real GA_NC]]</f>
        <v>0.9600481339404825</v>
      </c>
      <c r="AH74" s="6">
        <f>Tabla13[[#This Row],[Calculated GA_DNC]]/Tabla13[[#This Row],[Real GA_DNC]]</f>
        <v>0.98420808021882511</v>
      </c>
      <c r="AI74" s="6">
        <f>Tabla13[[#This Row],[Calculated HGA_(Ph2)]]/Tabla13[[#This Row],[Real HGA_(Ph2)]]</f>
        <v>0.98380989967706955</v>
      </c>
      <c r="AJ74" s="6">
        <f>Tabla13[[#This Row],[Calculated HGA_(Ph1)]]/Tabla13[[#This Row],[Real HGA_(Ph1)]]</f>
        <v>0.98147937767921334</v>
      </c>
      <c r="AK74" s="6">
        <f>Tabla13[[#This Row],[Calculated HGA^H]]/Tabla13[[#This Row],[Real GA^H]]</f>
        <v>0.97765267428509051</v>
      </c>
      <c r="AL74" s="6">
        <f>Tabla13[[#This Row],[Calculated HGA_(Ph2)^H]]/Tabla13[[#This Row],[Real HGA_(Ph2)^H]]</f>
        <v>0.97772921565370929</v>
      </c>
      <c r="AM74" s="6">
        <f>Tabla13[[#This Row],[Calculated HGA_(Ph1)^H]]/Tabla13[[#This Row],[Real HGA_(Ph1)^H]]</f>
        <v>0.9765594193611985</v>
      </c>
    </row>
    <row r="75" spans="1:39">
      <c r="A75" s="6" t="str">
        <f t="shared" si="18"/>
        <v>montage</v>
      </c>
      <c r="B75" t="s">
        <v>16</v>
      </c>
      <c r="C75">
        <f>_xlfn.XLOOKUP(B75,Instances!$B$2:$B$29,Instances!$A$2:$A$29,,0,1)</f>
        <v>472</v>
      </c>
      <c r="D75">
        <v>8</v>
      </c>
      <c r="E75">
        <v>5073.3900000000003</v>
      </c>
      <c r="F75">
        <v>4916.68</v>
      </c>
      <c r="G75">
        <v>5097.5010000000002</v>
      </c>
      <c r="H75">
        <v>5057.1270000000004</v>
      </c>
      <c r="I75">
        <v>4894.8580000000002</v>
      </c>
      <c r="J75">
        <v>5060.8940000000002</v>
      </c>
      <c r="K75">
        <v>4917.1659999999993</v>
      </c>
      <c r="L75">
        <v>4920.585</v>
      </c>
      <c r="M75">
        <v>4916.68</v>
      </c>
      <c r="N75" s="7">
        <f t="shared" si="19"/>
        <v>3.0888616881414602E-2</v>
      </c>
      <c r="O75" s="1">
        <f t="shared" si="20"/>
        <v>-4.7524436323641344E-3</v>
      </c>
      <c r="P75" s="1">
        <f t="shared" si="21"/>
        <v>3.2055489524755476E-3</v>
      </c>
      <c r="Q75" s="1">
        <f t="shared" si="22"/>
        <v>3.5189882898811274E-2</v>
      </c>
      <c r="R75" s="1">
        <f t="shared" si="23"/>
        <v>2.4630473904036737E-3</v>
      </c>
      <c r="S75" s="1">
        <f t="shared" si="24"/>
        <v>3.0792822944816198E-2</v>
      </c>
      <c r="T75" s="1">
        <f t="shared" si="25"/>
        <v>3.011891457191351E-2</v>
      </c>
      <c r="U75" s="1">
        <f t="shared" si="26"/>
        <v>3.0888616881414602E-2</v>
      </c>
      <c r="V75">
        <v>4653.6200000000008</v>
      </c>
      <c r="W75">
        <v>4779.7700000000013</v>
      </c>
      <c r="X75">
        <v>4877.0670000000009</v>
      </c>
      <c r="Y75">
        <v>4964.246000000001</v>
      </c>
      <c r="Z75">
        <v>4777.5680000000002</v>
      </c>
      <c r="AA75">
        <v>4945.9269999999997</v>
      </c>
      <c r="AB75">
        <v>4777.8969999999999</v>
      </c>
      <c r="AC75">
        <v>4777.058</v>
      </c>
      <c r="AD75">
        <v>4779.7700000000013</v>
      </c>
      <c r="AE75" s="6">
        <f>Tabla13[[#This Row],[Calculated HEFT_NC]]/Tabla13[[#This Row],[Real HEFT_NC]]</f>
        <v>0.9172604510987723</v>
      </c>
      <c r="AF75" s="6">
        <f>Tabla13[[#This Row],[Calculated HEFT_DNC]]/Tabla13[[#This Row],[Real HEFT_DNC]]</f>
        <v>0.97215397381973223</v>
      </c>
      <c r="AG75" s="6">
        <f>Tabla13[[#This Row],[Calculated GA_NC]]/Tabla13[[#This Row],[Real GA_NC]]</f>
        <v>0.95675645772310802</v>
      </c>
      <c r="AH75" s="6">
        <f>Tabla13[[#This Row],[Calculated GA_DNC]]/Tabla13[[#This Row],[Real GA_DNC]]</f>
        <v>0.98163364297554734</v>
      </c>
      <c r="AI75" s="6">
        <f>Tabla13[[#This Row],[Calculated HGA_(Ph2)]]/Tabla13[[#This Row],[Real HGA_(Ph2)]]</f>
        <v>0.97603812000266399</v>
      </c>
      <c r="AJ75" s="6">
        <f>Tabla13[[#This Row],[Calculated HGA_(Ph1)]]/Tabla13[[#This Row],[Real HGA_(Ph1)]]</f>
        <v>0.97728326260142961</v>
      </c>
      <c r="AK75" s="6">
        <f>Tabla13[[#This Row],[Calculated HGA^H]]/Tabla13[[#This Row],[Real GA^H]]</f>
        <v>0.9716769781618112</v>
      </c>
      <c r="AL75" s="6">
        <f>Tabla13[[#This Row],[Calculated HGA_(Ph2)^H]]/Tabla13[[#This Row],[Real HGA_(Ph2)^H]]</f>
        <v>0.97083131375639276</v>
      </c>
      <c r="AM75" s="6">
        <f>Tabla13[[#This Row],[Calculated HGA_(Ph1)^H]]/Tabla13[[#This Row],[Real HGA_(Ph1)^H]]</f>
        <v>0.97215397381973223</v>
      </c>
    </row>
    <row r="76" spans="1:39">
      <c r="A76" s="6" t="str">
        <f t="shared" si="18"/>
        <v>montage</v>
      </c>
      <c r="B76" t="s">
        <v>16</v>
      </c>
      <c r="C76">
        <f>_xlfn.XLOOKUP(B76,Instances!$B$2:$B$29,Instances!$A$2:$A$29,,0,1)</f>
        <v>472</v>
      </c>
      <c r="D76">
        <v>16</v>
      </c>
      <c r="E76">
        <v>2592.14</v>
      </c>
      <c r="F76">
        <v>2516.48</v>
      </c>
      <c r="G76">
        <v>2755.6039999999998</v>
      </c>
      <c r="H76">
        <v>2753.0079999999998</v>
      </c>
      <c r="I76">
        <v>2502.078</v>
      </c>
      <c r="J76">
        <v>2644.2640000000001</v>
      </c>
      <c r="K76">
        <v>2498.8789999999999</v>
      </c>
      <c r="L76">
        <v>2501.0430000000001</v>
      </c>
      <c r="M76">
        <v>2516.48</v>
      </c>
      <c r="N76" s="7">
        <f t="shared" si="19"/>
        <v>2.91882382895985E-2</v>
      </c>
      <c r="O76" s="1">
        <f t="shared" si="20"/>
        <v>-6.306140872020799E-2</v>
      </c>
      <c r="P76" s="1">
        <f t="shared" si="21"/>
        <v>-6.2059919603107833E-2</v>
      </c>
      <c r="Q76" s="1">
        <f t="shared" si="22"/>
        <v>3.4744265356037828E-2</v>
      </c>
      <c r="R76" s="1">
        <f t="shared" si="23"/>
        <v>-2.0108481794964876E-2</v>
      </c>
      <c r="S76" s="1">
        <f t="shared" si="24"/>
        <v>3.5978380797333467E-2</v>
      </c>
      <c r="T76" s="1">
        <f t="shared" si="25"/>
        <v>3.5143549345328477E-2</v>
      </c>
      <c r="U76" s="1">
        <f t="shared" si="26"/>
        <v>2.91882382895985E-2</v>
      </c>
      <c r="V76">
        <v>2372.11</v>
      </c>
      <c r="W76">
        <v>2436.96</v>
      </c>
      <c r="X76">
        <v>2651.8389999999999</v>
      </c>
      <c r="Y76">
        <v>2710.549</v>
      </c>
      <c r="Z76">
        <v>2422.1799999999998</v>
      </c>
      <c r="AA76">
        <v>2582.5059999999999</v>
      </c>
      <c r="AB76">
        <v>2419.636</v>
      </c>
      <c r="AC76">
        <v>2412.2220000000002</v>
      </c>
      <c r="AD76">
        <v>2436.96</v>
      </c>
      <c r="AE76" s="6">
        <f>Tabla13[[#This Row],[Calculated HEFT_NC]]/Tabla13[[#This Row],[Real HEFT_NC]]</f>
        <v>0.91511646747475073</v>
      </c>
      <c r="AF76" s="6">
        <f>Tabla13[[#This Row],[Calculated HEFT_DNC]]/Tabla13[[#This Row],[Real HEFT_DNC]]</f>
        <v>0.96840030518819942</v>
      </c>
      <c r="AG76" s="6">
        <f>Tabla13[[#This Row],[Calculated GA_NC]]/Tabla13[[#This Row],[Real GA_NC]]</f>
        <v>0.96234400879081328</v>
      </c>
      <c r="AH76" s="6">
        <f>Tabla13[[#This Row],[Calculated GA_DNC]]/Tabla13[[#This Row],[Real GA_DNC]]</f>
        <v>0.98457723333895153</v>
      </c>
      <c r="AI76" s="6">
        <f>Tabla13[[#This Row],[Calculated HGA_(Ph2)]]/Tabla13[[#This Row],[Real HGA_(Ph2)]]</f>
        <v>0.96806734242497627</v>
      </c>
      <c r="AJ76" s="6">
        <f>Tabla13[[#This Row],[Calculated HGA_(Ph1)]]/Tabla13[[#This Row],[Real HGA_(Ph1)]]</f>
        <v>0.97664454078715279</v>
      </c>
      <c r="AK76" s="6">
        <f>Tabla13[[#This Row],[Calculated HGA^H]]/Tabla13[[#This Row],[Real GA^H]]</f>
        <v>0.96828858059954082</v>
      </c>
      <c r="AL76" s="6">
        <f>Tabla13[[#This Row],[Calculated HGA_(Ph2)^H]]/Tabla13[[#This Row],[Real HGA_(Ph2)^H]]</f>
        <v>0.96448641626713338</v>
      </c>
      <c r="AM76" s="6">
        <f>Tabla13[[#This Row],[Calculated HGA_(Ph1)^H]]/Tabla13[[#This Row],[Real HGA_(Ph1)^H]]</f>
        <v>0.96840030518819942</v>
      </c>
    </row>
    <row r="77" spans="1:39">
      <c r="A77" s="6" t="str">
        <f t="shared" si="18"/>
        <v>montage</v>
      </c>
      <c r="B77" t="s">
        <v>17</v>
      </c>
      <c r="C77">
        <f>_xlfn.XLOOKUP(B77,Instances!$B$2:$B$29,Instances!$A$2:$A$29,,0,1)</f>
        <v>1066</v>
      </c>
      <c r="D77">
        <v>1</v>
      </c>
      <c r="E77">
        <v>38959.199999999997</v>
      </c>
      <c r="F77">
        <v>38959.199999999997</v>
      </c>
      <c r="G77">
        <v>38959.199999999997</v>
      </c>
      <c r="H77">
        <v>38959.199999999997</v>
      </c>
      <c r="I77">
        <v>38959.199999999997</v>
      </c>
      <c r="J77">
        <v>38959.199999999997</v>
      </c>
      <c r="K77">
        <v>38959.199999999997</v>
      </c>
      <c r="L77">
        <v>38959.199999999997</v>
      </c>
      <c r="M77">
        <v>38959.199999999997</v>
      </c>
      <c r="N77" s="7">
        <f t="shared" si="19"/>
        <v>0</v>
      </c>
      <c r="O77" s="1">
        <f t="shared" si="20"/>
        <v>0</v>
      </c>
      <c r="P77" s="1">
        <f t="shared" si="21"/>
        <v>0</v>
      </c>
      <c r="Q77" s="1">
        <f t="shared" si="22"/>
        <v>0</v>
      </c>
      <c r="R77" s="1">
        <f t="shared" si="23"/>
        <v>0</v>
      </c>
      <c r="S77" s="1">
        <f t="shared" si="24"/>
        <v>0</v>
      </c>
      <c r="T77" s="1">
        <f t="shared" si="25"/>
        <v>0</v>
      </c>
      <c r="U77" s="1">
        <f t="shared" si="26"/>
        <v>0</v>
      </c>
      <c r="V77">
        <v>36969.099999999991</v>
      </c>
      <c r="W77">
        <v>38958.400000000009</v>
      </c>
      <c r="X77">
        <v>36969.099999999991</v>
      </c>
      <c r="Y77">
        <v>38958.400000000009</v>
      </c>
      <c r="Z77">
        <v>38958.400000000009</v>
      </c>
      <c r="AA77">
        <v>38958.400000000009</v>
      </c>
      <c r="AB77">
        <v>38958.400000000009</v>
      </c>
      <c r="AC77">
        <v>38958.400000000009</v>
      </c>
      <c r="AD77">
        <v>38958.400000000009</v>
      </c>
      <c r="AE77" s="6">
        <f>Tabla13[[#This Row],[Calculated HEFT_NC]]/Tabla13[[#This Row],[Real HEFT_NC]]</f>
        <v>0.94891835561305149</v>
      </c>
      <c r="AF77" s="6">
        <f>Tabla13[[#This Row],[Calculated HEFT_DNC]]/Tabla13[[#This Row],[Real HEFT_DNC]]</f>
        <v>0.99997946569744789</v>
      </c>
      <c r="AG77" s="6">
        <f>Tabla13[[#This Row],[Calculated GA_NC]]/Tabla13[[#This Row],[Real GA_NC]]</f>
        <v>0.94891835561305149</v>
      </c>
      <c r="AH77" s="6">
        <f>Tabla13[[#This Row],[Calculated GA_DNC]]/Tabla13[[#This Row],[Real GA_DNC]]</f>
        <v>0.99997946569744789</v>
      </c>
      <c r="AI77" s="6">
        <f>Tabla13[[#This Row],[Calculated HGA_(Ph2)]]/Tabla13[[#This Row],[Real HGA_(Ph2)]]</f>
        <v>0.99997946569744789</v>
      </c>
      <c r="AJ77" s="6">
        <f>Tabla13[[#This Row],[Calculated HGA_(Ph1)]]/Tabla13[[#This Row],[Real HGA_(Ph1)]]</f>
        <v>0.99997946569744789</v>
      </c>
      <c r="AK77" s="6">
        <f>Tabla13[[#This Row],[Calculated HGA^H]]/Tabla13[[#This Row],[Real GA^H]]</f>
        <v>0.99997946569744789</v>
      </c>
      <c r="AL77" s="6">
        <f>Tabla13[[#This Row],[Calculated HGA_(Ph2)^H]]/Tabla13[[#This Row],[Real HGA_(Ph2)^H]]</f>
        <v>0.99997946569744789</v>
      </c>
      <c r="AM77" s="6">
        <f>Tabla13[[#This Row],[Calculated HGA_(Ph1)^H]]/Tabla13[[#This Row],[Real HGA_(Ph1)^H]]</f>
        <v>0.99997946569744789</v>
      </c>
    </row>
    <row r="78" spans="1:39">
      <c r="A78" s="6" t="str">
        <f t="shared" si="18"/>
        <v>montage</v>
      </c>
      <c r="B78" t="s">
        <v>17</v>
      </c>
      <c r="C78">
        <f>_xlfn.XLOOKUP(B78,Instances!$B$2:$B$29,Instances!$A$2:$A$29,,0,1)</f>
        <v>1066</v>
      </c>
      <c r="D78">
        <v>2</v>
      </c>
      <c r="E78">
        <v>20242.3</v>
      </c>
      <c r="F78">
        <v>20227.099999999999</v>
      </c>
      <c r="G78">
        <v>20066.62</v>
      </c>
      <c r="H78">
        <v>19924.28</v>
      </c>
      <c r="I78">
        <v>19961.68</v>
      </c>
      <c r="J78">
        <v>20140.599999999999</v>
      </c>
      <c r="K78">
        <v>20085.16</v>
      </c>
      <c r="L78">
        <v>20104.849999999999</v>
      </c>
      <c r="M78">
        <v>20136.68</v>
      </c>
      <c r="N78" s="7">
        <f t="shared" si="19"/>
        <v>7.5090281242747752E-4</v>
      </c>
      <c r="O78" s="1">
        <f t="shared" si="20"/>
        <v>8.6788556636350767E-3</v>
      </c>
      <c r="P78" s="1">
        <f t="shared" si="21"/>
        <v>1.5710665290011534E-2</v>
      </c>
      <c r="Q78" s="1">
        <f t="shared" si="22"/>
        <v>1.3863049159433413E-2</v>
      </c>
      <c r="R78" s="1">
        <f t="shared" si="23"/>
        <v>5.0241326331494311E-3</v>
      </c>
      <c r="S78" s="1">
        <f t="shared" si="24"/>
        <v>7.7629518384768241E-3</v>
      </c>
      <c r="T78" s="1">
        <f t="shared" si="25"/>
        <v>6.7902362873784464E-3</v>
      </c>
      <c r="U78" s="1">
        <f t="shared" si="26"/>
        <v>5.2177865163543164E-3</v>
      </c>
      <c r="V78">
        <v>18587.8</v>
      </c>
      <c r="W78">
        <v>19571.099999999999</v>
      </c>
      <c r="X78">
        <v>18501.82</v>
      </c>
      <c r="Y78">
        <v>19483.740000000002</v>
      </c>
      <c r="Z78">
        <v>19479.240000000002</v>
      </c>
      <c r="AA78">
        <v>19504.52</v>
      </c>
      <c r="AB78">
        <v>19482.3</v>
      </c>
      <c r="AC78">
        <v>19479.22</v>
      </c>
      <c r="AD78">
        <v>19495.259999999998</v>
      </c>
      <c r="AE78" s="6">
        <f>Tabla13[[#This Row],[Calculated HEFT_NC]]/Tabla13[[#This Row],[Real HEFT_NC]]</f>
        <v>0.91826521689728935</v>
      </c>
      <c r="AF78" s="6">
        <f>Tabla13[[#This Row],[Calculated HEFT_DNC]]/Tabla13[[#This Row],[Real HEFT_DNC]]</f>
        <v>0.96756826238066751</v>
      </c>
      <c r="AG78" s="6">
        <f>Tabla13[[#This Row],[Calculated GA_NC]]/Tabla13[[#This Row],[Real GA_NC]]</f>
        <v>0.92201975220540389</v>
      </c>
      <c r="AH78" s="6">
        <f>Tabla13[[#This Row],[Calculated GA_DNC]]/Tabla13[[#This Row],[Real GA_DNC]]</f>
        <v>0.97788928884757709</v>
      </c>
      <c r="AI78" s="6">
        <f>Tabla13[[#This Row],[Calculated HGA_(Ph2)]]/Tabla13[[#This Row],[Real HGA_(Ph2)]]</f>
        <v>0.9758316935247936</v>
      </c>
      <c r="AJ78" s="6">
        <f>Tabla13[[#This Row],[Calculated HGA_(Ph1)]]/Tabla13[[#This Row],[Real HGA_(Ph1)]]</f>
        <v>0.9684180213101895</v>
      </c>
      <c r="AK78" s="6">
        <f>Tabla13[[#This Row],[Calculated HGA^H]]/Tabla13[[#This Row],[Real GA^H]]</f>
        <v>0.96998480470158066</v>
      </c>
      <c r="AL78" s="6">
        <f>Tabla13[[#This Row],[Calculated HGA_(Ph2)^H]]/Tabla13[[#This Row],[Real HGA_(Ph2)^H]]</f>
        <v>0.96888163801271843</v>
      </c>
      <c r="AM78" s="6">
        <f>Tabla13[[#This Row],[Calculated HGA_(Ph1)^H]]/Tabla13[[#This Row],[Real HGA_(Ph1)^H]]</f>
        <v>0.96814668555094474</v>
      </c>
    </row>
    <row r="79" spans="1:39">
      <c r="A79" s="6" t="str">
        <f t="shared" si="18"/>
        <v>montage</v>
      </c>
      <c r="B79" t="s">
        <v>17</v>
      </c>
      <c r="C79">
        <f>_xlfn.XLOOKUP(B79,Instances!$B$2:$B$29,Instances!$A$2:$A$29,,0,1)</f>
        <v>1066</v>
      </c>
      <c r="D79">
        <v>4</v>
      </c>
      <c r="E79">
        <v>10623.3</v>
      </c>
      <c r="F79">
        <v>10461.6</v>
      </c>
      <c r="G79">
        <v>10495.28</v>
      </c>
      <c r="H79">
        <v>10364.700000000001</v>
      </c>
      <c r="I79">
        <v>10252.93</v>
      </c>
      <c r="J79">
        <v>10490.94</v>
      </c>
      <c r="K79">
        <v>10383.77</v>
      </c>
      <c r="L79">
        <v>10372.91</v>
      </c>
      <c r="M79">
        <v>10461.6</v>
      </c>
      <c r="N79" s="7">
        <f t="shared" si="19"/>
        <v>1.5221258930840597E-2</v>
      </c>
      <c r="O79" s="1">
        <f t="shared" si="20"/>
        <v>1.2050869315560949E-2</v>
      </c>
      <c r="P79" s="1">
        <f t="shared" si="21"/>
        <v>2.4342718364349925E-2</v>
      </c>
      <c r="Q79" s="1">
        <f t="shared" si="22"/>
        <v>3.4863931170163606E-2</v>
      </c>
      <c r="R79" s="1">
        <f t="shared" si="23"/>
        <v>1.2459405269548895E-2</v>
      </c>
      <c r="S79" s="1">
        <f t="shared" si="24"/>
        <v>2.2547607617218648E-2</v>
      </c>
      <c r="T79" s="1">
        <f t="shared" si="25"/>
        <v>2.3569888829271454E-2</v>
      </c>
      <c r="U79" s="1">
        <f t="shared" si="26"/>
        <v>1.5221258930840597E-2</v>
      </c>
      <c r="V79">
        <v>9309.4299999999985</v>
      </c>
      <c r="W79">
        <v>9809.369999999999</v>
      </c>
      <c r="X79">
        <v>9462.2480000000014</v>
      </c>
      <c r="Y79">
        <v>9849.9410000000007</v>
      </c>
      <c r="Z79">
        <v>9757.9840000000004</v>
      </c>
      <c r="AA79">
        <v>9897.5049999999992</v>
      </c>
      <c r="AB79">
        <v>9778.8840000000018</v>
      </c>
      <c r="AC79">
        <v>9757.7999999999993</v>
      </c>
      <c r="AD79">
        <v>9809.369999999999</v>
      </c>
      <c r="AE79" s="6">
        <f>Tabla13[[#This Row],[Calculated HEFT_NC]]/Tabla13[[#This Row],[Real HEFT_NC]]</f>
        <v>0.87632185855619249</v>
      </c>
      <c r="AF79" s="6">
        <f>Tabla13[[#This Row],[Calculated HEFT_DNC]]/Tabla13[[#This Row],[Real HEFT_DNC]]</f>
        <v>0.93765485203028209</v>
      </c>
      <c r="AG79" s="6">
        <f>Tabla13[[#This Row],[Calculated GA_NC]]/Tabla13[[#This Row],[Real GA_NC]]</f>
        <v>0.90157175415996527</v>
      </c>
      <c r="AH79" s="6">
        <f>Tabla13[[#This Row],[Calculated GA_DNC]]/Tabla13[[#This Row],[Real GA_DNC]]</f>
        <v>0.95033536908931282</v>
      </c>
      <c r="AI79" s="6">
        <f>Tabla13[[#This Row],[Calculated HGA_(Ph2)]]/Tabla13[[#This Row],[Real HGA_(Ph2)]]</f>
        <v>0.95172638455543923</v>
      </c>
      <c r="AJ79" s="6">
        <f>Tabla13[[#This Row],[Calculated HGA_(Ph1)]]/Tabla13[[#This Row],[Real HGA_(Ph1)]]</f>
        <v>0.94343357220611301</v>
      </c>
      <c r="AK79" s="6">
        <f>Tabla13[[#This Row],[Calculated HGA^H]]/Tabla13[[#This Row],[Real GA^H]]</f>
        <v>0.94174697629088489</v>
      </c>
      <c r="AL79" s="6">
        <f>Tabla13[[#This Row],[Calculated HGA_(Ph2)^H]]/Tabla13[[#This Row],[Real HGA_(Ph2)^H]]</f>
        <v>0.9407003434908815</v>
      </c>
      <c r="AM79" s="6">
        <f>Tabla13[[#This Row],[Calculated HGA_(Ph1)^H]]/Tabla13[[#This Row],[Real HGA_(Ph1)^H]]</f>
        <v>0.93765485203028209</v>
      </c>
    </row>
    <row r="80" spans="1:39">
      <c r="A80" s="6" t="str">
        <f t="shared" si="18"/>
        <v>montage</v>
      </c>
      <c r="B80" t="s">
        <v>17</v>
      </c>
      <c r="C80">
        <f>_xlfn.XLOOKUP(B80,Instances!$B$2:$B$29,Instances!$A$2:$A$29,,0,1)</f>
        <v>1066</v>
      </c>
      <c r="D80">
        <v>8</v>
      </c>
      <c r="E80">
        <v>5981.6699999999992</v>
      </c>
      <c r="F80">
        <v>5387.56</v>
      </c>
      <c r="G80">
        <v>5588.1129999999994</v>
      </c>
      <c r="H80">
        <v>5527.5870000000004</v>
      </c>
      <c r="I80">
        <v>5238.7550000000001</v>
      </c>
      <c r="J80">
        <v>5490.7050000000008</v>
      </c>
      <c r="K80">
        <v>5309.8389999999999</v>
      </c>
      <c r="L80">
        <v>5314.48</v>
      </c>
      <c r="M80">
        <v>5387.5599999999986</v>
      </c>
      <c r="N80" s="7">
        <f t="shared" si="19"/>
        <v>9.9321761314147869E-2</v>
      </c>
      <c r="O80" s="1">
        <f t="shared" si="20"/>
        <v>6.579383349465949E-2</v>
      </c>
      <c r="P80" s="1">
        <f t="shared" si="21"/>
        <v>7.5912412419942718E-2</v>
      </c>
      <c r="Q80" s="1">
        <f t="shared" si="22"/>
        <v>0.12419859336941007</v>
      </c>
      <c r="R80" s="1">
        <f t="shared" si="23"/>
        <v>8.207824905085008E-2</v>
      </c>
      <c r="S80" s="1">
        <f t="shared" si="24"/>
        <v>0.11231495552245432</v>
      </c>
      <c r="T80" s="1">
        <f t="shared" si="25"/>
        <v>0.11153908523873762</v>
      </c>
      <c r="U80" s="1">
        <f t="shared" si="26"/>
        <v>9.932176131414816E-2</v>
      </c>
      <c r="V80">
        <v>4778.49</v>
      </c>
      <c r="W80">
        <v>4982.1200000000008</v>
      </c>
      <c r="X80">
        <v>4976.1400000000003</v>
      </c>
      <c r="Y80">
        <v>5211.6719999999996</v>
      </c>
      <c r="Z80">
        <v>4911.3490000000002</v>
      </c>
      <c r="AA80">
        <v>5181.7579999999998</v>
      </c>
      <c r="AB80">
        <v>4910.6430000000009</v>
      </c>
      <c r="AC80">
        <v>4909.5469999999996</v>
      </c>
      <c r="AD80">
        <v>4982.1200000000008</v>
      </c>
      <c r="AE80" s="6">
        <f>Tabla13[[#This Row],[Calculated HEFT_NC]]/Tabla13[[#This Row],[Real HEFT_NC]]</f>
        <v>0.79885550356338619</v>
      </c>
      <c r="AF80" s="6">
        <f>Tabla13[[#This Row],[Calculated HEFT_DNC]]/Tabla13[[#This Row],[Real HEFT_DNC]]</f>
        <v>0.924745153650261</v>
      </c>
      <c r="AG80" s="6">
        <f>Tabla13[[#This Row],[Calculated GA_NC]]/Tabla13[[#This Row],[Real GA_NC]]</f>
        <v>0.89048664549195777</v>
      </c>
      <c r="AH80" s="6">
        <f>Tabla13[[#This Row],[Calculated GA_DNC]]/Tabla13[[#This Row],[Real GA_DNC]]</f>
        <v>0.94284757526204455</v>
      </c>
      <c r="AI80" s="6">
        <f>Tabla13[[#This Row],[Calculated HGA_(Ph2)]]/Tabla13[[#This Row],[Real HGA_(Ph2)]]</f>
        <v>0.93750308995171561</v>
      </c>
      <c r="AJ80" s="6">
        <f>Tabla13[[#This Row],[Calculated HGA_(Ph1)]]/Tabla13[[#This Row],[Real HGA_(Ph1)]]</f>
        <v>0.94373272648958539</v>
      </c>
      <c r="AK80" s="6">
        <f>Tabla13[[#This Row],[Calculated HGA^H]]/Tabla13[[#This Row],[Real GA^H]]</f>
        <v>0.92481956609230542</v>
      </c>
      <c r="AL80" s="6">
        <f>Tabla13[[#This Row],[Calculated HGA_(Ph2)^H]]/Tabla13[[#This Row],[Real HGA_(Ph2)^H]]</f>
        <v>0.92380571570501724</v>
      </c>
      <c r="AM80" s="6">
        <f>Tabla13[[#This Row],[Calculated HGA_(Ph1)^H]]/Tabla13[[#This Row],[Real HGA_(Ph1)^H]]</f>
        <v>0.92474515365026133</v>
      </c>
    </row>
    <row r="81" spans="1:39">
      <c r="A81" s="6" t="str">
        <f t="shared" si="18"/>
        <v>montage</v>
      </c>
      <c r="B81" t="s">
        <v>17</v>
      </c>
      <c r="C81">
        <f>_xlfn.XLOOKUP(B81,Instances!$B$2:$B$29,Instances!$A$2:$A$29,,0,1)</f>
        <v>1066</v>
      </c>
      <c r="D81">
        <v>16</v>
      </c>
      <c r="E81">
        <v>3309.75</v>
      </c>
      <c r="F81">
        <v>2862.05</v>
      </c>
      <c r="G81">
        <v>3049.4180000000001</v>
      </c>
      <c r="H81">
        <v>3033.4</v>
      </c>
      <c r="I81">
        <v>2714.0650000000001</v>
      </c>
      <c r="J81">
        <v>2974.3960000000002</v>
      </c>
      <c r="K81">
        <v>2792.699000000001</v>
      </c>
      <c r="L81">
        <v>2726.4609999999998</v>
      </c>
      <c r="M81">
        <v>2862.05</v>
      </c>
      <c r="N81" s="7">
        <f t="shared" si="19"/>
        <v>0.13526701412493386</v>
      </c>
      <c r="O81" s="1">
        <f t="shared" si="20"/>
        <v>7.8656091849837559E-2</v>
      </c>
      <c r="P81" s="1">
        <f t="shared" si="21"/>
        <v>8.3495732306065384E-2</v>
      </c>
      <c r="Q81" s="1">
        <f t="shared" si="22"/>
        <v>0.17997885036634184</v>
      </c>
      <c r="R81" s="1">
        <f t="shared" si="23"/>
        <v>0.1013230606541279</v>
      </c>
      <c r="S81" s="1">
        <f t="shared" si="24"/>
        <v>0.15622056046529165</v>
      </c>
      <c r="T81" s="1">
        <f t="shared" si="25"/>
        <v>0.17623355238311056</v>
      </c>
      <c r="U81" s="1">
        <f t="shared" si="26"/>
        <v>0.13526701412493386</v>
      </c>
      <c r="V81">
        <v>2469.67</v>
      </c>
      <c r="W81">
        <v>2617.4699999999998</v>
      </c>
      <c r="X81">
        <v>2730.3240000000001</v>
      </c>
      <c r="Y81">
        <v>2871.047</v>
      </c>
      <c r="Z81">
        <v>2507.9389999999999</v>
      </c>
      <c r="AA81">
        <v>2768.3240000000001</v>
      </c>
      <c r="AB81">
        <v>2590.4549999999999</v>
      </c>
      <c r="AC81">
        <v>2485.5569999999998</v>
      </c>
      <c r="AD81">
        <v>2617.4699999999998</v>
      </c>
      <c r="AE81" s="6">
        <f>Tabla13[[#This Row],[Calculated HEFT_NC]]/Tabla13[[#This Row],[Real HEFT_NC]]</f>
        <v>0.74618022509252968</v>
      </c>
      <c r="AF81" s="6">
        <f>Tabla13[[#This Row],[Calculated HEFT_DNC]]/Tabla13[[#This Row],[Real HEFT_DNC]]</f>
        <v>0.91454377107318163</v>
      </c>
      <c r="AG81" s="6">
        <f>Tabla13[[#This Row],[Calculated GA_NC]]/Tabla13[[#This Row],[Real GA_NC]]</f>
        <v>0.89535904884145101</v>
      </c>
      <c r="AH81" s="6">
        <f>Tabla13[[#This Row],[Calculated GA_DNC]]/Tabla13[[#This Row],[Real GA_DNC]]</f>
        <v>0.94647820927012594</v>
      </c>
      <c r="AI81" s="6">
        <f>Tabla13[[#This Row],[Calculated HGA_(Ph2)]]/Tabla13[[#This Row],[Real HGA_(Ph2)]]</f>
        <v>0.92405266638787198</v>
      </c>
      <c r="AJ81" s="6">
        <f>Tabla13[[#This Row],[Calculated HGA_(Ph1)]]/Tabla13[[#This Row],[Real HGA_(Ph1)]]</f>
        <v>0.93071803485480742</v>
      </c>
      <c r="AK81" s="6">
        <f>Tabla13[[#This Row],[Calculated HGA^H]]/Tabla13[[#This Row],[Real GA^H]]</f>
        <v>0.92758116789528666</v>
      </c>
      <c r="AL81" s="6">
        <f>Tabla13[[#This Row],[Calculated HGA_(Ph2)^H]]/Tabla13[[#This Row],[Real HGA_(Ph2)^H]]</f>
        <v>0.9116422351172454</v>
      </c>
      <c r="AM81" s="6">
        <f>Tabla13[[#This Row],[Calculated HGA_(Ph1)^H]]/Tabla13[[#This Row],[Real HGA_(Ph1)^H]]</f>
        <v>0.91454377107318163</v>
      </c>
    </row>
    <row r="82" spans="1:39">
      <c r="A82" s="6" t="str">
        <f t="shared" si="18"/>
        <v>seismology</v>
      </c>
      <c r="B82" t="s">
        <v>21</v>
      </c>
      <c r="C82">
        <f>_xlfn.XLOOKUP(B82,Instances!$B$2:$B$29,Instances!$A$2:$A$29,,0,1)</f>
        <v>1001</v>
      </c>
      <c r="D82">
        <v>1</v>
      </c>
      <c r="E82">
        <v>538.6350000000001</v>
      </c>
      <c r="F82">
        <v>538.6350000000001</v>
      </c>
      <c r="G82">
        <v>538.63499999999999</v>
      </c>
      <c r="H82">
        <v>538.63499999999999</v>
      </c>
      <c r="I82">
        <v>538.63499999999999</v>
      </c>
      <c r="J82">
        <v>538.63499999999999</v>
      </c>
      <c r="K82">
        <v>538.63499999999999</v>
      </c>
      <c r="L82">
        <v>538.63499999999999</v>
      </c>
      <c r="M82">
        <v>538.63499999999999</v>
      </c>
      <c r="N82" s="7">
        <f t="shared" si="19"/>
        <v>0</v>
      </c>
      <c r="O82" s="1">
        <f t="shared" si="20"/>
        <v>2.1106470563854189E-16</v>
      </c>
      <c r="P82" s="1">
        <f t="shared" si="21"/>
        <v>2.1106470563854189E-16</v>
      </c>
      <c r="Q82" s="1">
        <f t="shared" si="22"/>
        <v>2.1106470563854189E-16</v>
      </c>
      <c r="R82" s="1">
        <f t="shared" si="23"/>
        <v>2.1106470563854189E-16</v>
      </c>
      <c r="S82" s="1">
        <f t="shared" si="24"/>
        <v>2.1106470563854189E-16</v>
      </c>
      <c r="T82" s="1">
        <f t="shared" si="25"/>
        <v>2.1106470563854189E-16</v>
      </c>
      <c r="U82" s="1">
        <f t="shared" si="26"/>
        <v>2.1106470563854189E-16</v>
      </c>
      <c r="V82">
        <v>538.43299999999999</v>
      </c>
      <c r="W82">
        <v>538.63199999999983</v>
      </c>
      <c r="X82">
        <v>538.43299999999999</v>
      </c>
      <c r="Y82">
        <v>538.63199999999983</v>
      </c>
      <c r="Z82">
        <v>538.63199999999983</v>
      </c>
      <c r="AA82">
        <v>538.63199999999983</v>
      </c>
      <c r="AB82">
        <v>538.63199999999983</v>
      </c>
      <c r="AC82">
        <v>538.63199999999983</v>
      </c>
      <c r="AD82">
        <v>538.63199999999983</v>
      </c>
      <c r="AE82" s="6">
        <f>Tabla13[[#This Row],[Calculated HEFT_NC]]/Tabla13[[#This Row],[Real HEFT_NC]]</f>
        <v>0.99962497795353045</v>
      </c>
      <c r="AF82" s="6">
        <f>Tabla13[[#This Row],[Calculated HEFT_DNC]]/Tabla13[[#This Row],[Real HEFT_DNC]]</f>
        <v>0.99999443036564595</v>
      </c>
      <c r="AG82" s="6">
        <f>Tabla13[[#This Row],[Calculated GA_NC]]/Tabla13[[#This Row],[Real GA_NC]]</f>
        <v>0.99962497795353067</v>
      </c>
      <c r="AH82" s="6">
        <f>Tabla13[[#This Row],[Calculated GA_DNC]]/Tabla13[[#This Row],[Real GA_DNC]]</f>
        <v>0.99999443036564617</v>
      </c>
      <c r="AI82" s="6">
        <f>Tabla13[[#This Row],[Calculated HGA_(Ph2)]]/Tabla13[[#This Row],[Real HGA_(Ph2)]]</f>
        <v>0.99999443036564617</v>
      </c>
      <c r="AJ82" s="6">
        <f>Tabla13[[#This Row],[Calculated HGA_(Ph1)]]/Tabla13[[#This Row],[Real HGA_(Ph1)]]</f>
        <v>0.99999443036564617</v>
      </c>
      <c r="AK82" s="6">
        <f>Tabla13[[#This Row],[Calculated HGA^H]]/Tabla13[[#This Row],[Real GA^H]]</f>
        <v>0.99999443036564617</v>
      </c>
      <c r="AL82" s="6">
        <f>Tabla13[[#This Row],[Calculated HGA_(Ph2)^H]]/Tabla13[[#This Row],[Real HGA_(Ph2)^H]]</f>
        <v>0.99999443036564617</v>
      </c>
      <c r="AM82" s="6">
        <f>Tabla13[[#This Row],[Calculated HGA_(Ph1)^H]]/Tabla13[[#This Row],[Real HGA_(Ph1)^H]]</f>
        <v>0.99999443036564617</v>
      </c>
    </row>
    <row r="83" spans="1:39">
      <c r="A83" s="6" t="str">
        <f t="shared" si="18"/>
        <v>seismology</v>
      </c>
      <c r="B83" t="s">
        <v>21</v>
      </c>
      <c r="C83">
        <f>_xlfn.XLOOKUP(B83,Instances!$B$2:$B$29,Instances!$A$2:$A$29,,0,1)</f>
        <v>1001</v>
      </c>
      <c r="D83">
        <v>2</v>
      </c>
      <c r="E83">
        <v>269.55700000000002</v>
      </c>
      <c r="F83">
        <v>269.55599999999998</v>
      </c>
      <c r="G83">
        <v>269.55709999999999</v>
      </c>
      <c r="H83">
        <v>269.55560000000003</v>
      </c>
      <c r="I83">
        <v>269.5557</v>
      </c>
      <c r="J83">
        <v>269.55549999999999</v>
      </c>
      <c r="K83">
        <v>269.55579999999998</v>
      </c>
      <c r="L83">
        <v>269.55529999999999</v>
      </c>
      <c r="M83">
        <v>269.55579999999998</v>
      </c>
      <c r="N83" s="7">
        <f t="shared" si="19"/>
        <v>3.7097905082531582E-6</v>
      </c>
      <c r="O83" s="1">
        <f t="shared" si="20"/>
        <v>-3.7097905071987721E-7</v>
      </c>
      <c r="P83" s="1">
        <f t="shared" si="21"/>
        <v>5.1937067113435441E-6</v>
      </c>
      <c r="Q83" s="1">
        <f t="shared" si="22"/>
        <v>4.8227276606236665E-6</v>
      </c>
      <c r="R83" s="1">
        <f t="shared" si="23"/>
        <v>5.5646857622742981E-6</v>
      </c>
      <c r="S83" s="1">
        <f t="shared" si="24"/>
        <v>4.4517486099037898E-6</v>
      </c>
      <c r="T83" s="1">
        <f t="shared" si="25"/>
        <v>6.3066438639249298E-6</v>
      </c>
      <c r="U83" s="1">
        <f t="shared" si="26"/>
        <v>4.4517486099037898E-6</v>
      </c>
      <c r="V83">
        <v>269.39299999999997</v>
      </c>
      <c r="W83">
        <v>269.52300000000002</v>
      </c>
      <c r="X83">
        <v>269.39299999999997</v>
      </c>
      <c r="Y83">
        <v>269.52199999999999</v>
      </c>
      <c r="Z83">
        <v>269.52199999999999</v>
      </c>
      <c r="AA83">
        <v>269.52199999999999</v>
      </c>
      <c r="AB83">
        <v>269.52199999999999</v>
      </c>
      <c r="AC83">
        <v>269.52199999999999</v>
      </c>
      <c r="AD83">
        <v>269.52199999999999</v>
      </c>
      <c r="AE83" s="6">
        <f>Tabla13[[#This Row],[Calculated HEFT_NC]]/Tabla13[[#This Row],[Real HEFT_NC]]</f>
        <v>0.99939159435666647</v>
      </c>
      <c r="AF83" s="6">
        <f>Tabla13[[#This Row],[Calculated HEFT_DNC]]/Tabla13[[#This Row],[Real HEFT_DNC]]</f>
        <v>0.99987757645906616</v>
      </c>
      <c r="AG83" s="6">
        <f>Tabla13[[#This Row],[Calculated GA_NC]]/Tabla13[[#This Row],[Real GA_NC]]</f>
        <v>0.99939122360345911</v>
      </c>
      <c r="AH83" s="6">
        <f>Tabla13[[#This Row],[Calculated GA_DNC]]/Tabla13[[#This Row],[Real GA_DNC]]</f>
        <v>0.99987535039153319</v>
      </c>
      <c r="AI83" s="6">
        <f>Tabla13[[#This Row],[Calculated HGA_(Ph2)]]/Tabla13[[#This Row],[Real HGA_(Ph2)]]</f>
        <v>0.99987497945693593</v>
      </c>
      <c r="AJ83" s="6">
        <f>Tabla13[[#This Row],[Calculated HGA_(Ph1)]]/Tabla13[[#This Row],[Real HGA_(Ph1)]]</f>
        <v>0.9998757213264059</v>
      </c>
      <c r="AK83" s="6">
        <f>Tabla13[[#This Row],[Calculated HGA^H]]/Tabla13[[#This Row],[Real GA^H]]</f>
        <v>0.99987460852261389</v>
      </c>
      <c r="AL83" s="6">
        <f>Tabla13[[#This Row],[Calculated HGA_(Ph2)^H]]/Tabla13[[#This Row],[Real HGA_(Ph2)^H]]</f>
        <v>0.99987646319697665</v>
      </c>
      <c r="AM83" s="6">
        <f>Tabla13[[#This Row],[Calculated HGA_(Ph1)^H]]/Tabla13[[#This Row],[Real HGA_(Ph1)^H]]</f>
        <v>0.99987460852261389</v>
      </c>
    </row>
    <row r="84" spans="1:39">
      <c r="A84" s="6" t="str">
        <f t="shared" si="18"/>
        <v>seismology</v>
      </c>
      <c r="B84" t="s">
        <v>21</v>
      </c>
      <c r="C84">
        <f>_xlfn.XLOOKUP(B84,Instances!$B$2:$B$29,Instances!$A$2:$A$29,,0,1)</f>
        <v>1001</v>
      </c>
      <c r="D84">
        <v>4</v>
      </c>
      <c r="E84">
        <v>135.08600000000001</v>
      </c>
      <c r="F84">
        <v>135.08600000000001</v>
      </c>
      <c r="G84">
        <v>135.0324</v>
      </c>
      <c r="H84">
        <v>135.03550000000001</v>
      </c>
      <c r="I84">
        <v>135.01570000000001</v>
      </c>
      <c r="J84">
        <v>135.0264</v>
      </c>
      <c r="K84">
        <v>135.0239</v>
      </c>
      <c r="L84">
        <v>135.01589999999999</v>
      </c>
      <c r="M84">
        <v>135.02500000000001</v>
      </c>
      <c r="N84" s="7">
        <f t="shared" si="19"/>
        <v>0</v>
      </c>
      <c r="O84" s="1">
        <f t="shared" si="20"/>
        <v>3.9678427076097583E-4</v>
      </c>
      <c r="P84" s="1">
        <f t="shared" si="21"/>
        <v>3.7383592674296035E-4</v>
      </c>
      <c r="Q84" s="1">
        <f t="shared" si="22"/>
        <v>5.2040922079270335E-4</v>
      </c>
      <c r="R84" s="1">
        <f t="shared" si="23"/>
        <v>4.4120042047301284E-4</v>
      </c>
      <c r="S84" s="1">
        <f t="shared" si="24"/>
        <v>4.5970714951967736E-4</v>
      </c>
      <c r="T84" s="1">
        <f t="shared" si="25"/>
        <v>5.1892868246913013E-4</v>
      </c>
      <c r="U84" s="1">
        <f t="shared" si="26"/>
        <v>4.5156418873907765E-4</v>
      </c>
      <c r="V84">
        <v>134.94200000000001</v>
      </c>
      <c r="W84">
        <v>135.03700000000001</v>
      </c>
      <c r="X84">
        <v>134.88820000000001</v>
      </c>
      <c r="Y84">
        <v>134.9872</v>
      </c>
      <c r="Z84">
        <v>134.96709999999999</v>
      </c>
      <c r="AA84">
        <v>134.97790000000001</v>
      </c>
      <c r="AB84">
        <v>134.97540000000001</v>
      </c>
      <c r="AC84">
        <v>134.96700000000001</v>
      </c>
      <c r="AD84">
        <v>134.97669999999999</v>
      </c>
      <c r="AE84" s="6">
        <f>Tabla13[[#This Row],[Calculated HEFT_NC]]/Tabla13[[#This Row],[Real HEFT_NC]]</f>
        <v>0.99893401240691115</v>
      </c>
      <c r="AF84" s="6">
        <f>Tabla13[[#This Row],[Calculated HEFT_DNC]]/Tabla13[[#This Row],[Real HEFT_DNC]]</f>
        <v>0.99963726811068498</v>
      </c>
      <c r="AG84" s="6">
        <f>Tabla13[[#This Row],[Calculated GA_NC]]/Tabla13[[#This Row],[Real GA_NC]]</f>
        <v>0.99893210814589695</v>
      </c>
      <c r="AH84" s="6">
        <f>Tabla13[[#This Row],[Calculated GA_DNC]]/Tabla13[[#This Row],[Real GA_DNC]]</f>
        <v>0.99964231627979305</v>
      </c>
      <c r="AI84" s="6">
        <f>Tabla13[[#This Row],[Calculated HGA_(Ph2)]]/Tabla13[[#This Row],[Real HGA_(Ph2)]]</f>
        <v>0.99964004186179811</v>
      </c>
      <c r="AJ84" s="6">
        <f>Tabla13[[#This Row],[Calculated HGA_(Ph1)]]/Tabla13[[#This Row],[Real HGA_(Ph1)]]</f>
        <v>0.99964081098214874</v>
      </c>
      <c r="AK84" s="6">
        <f>Tabla13[[#This Row],[Calculated HGA^H]]/Tabla13[[#This Row],[Real GA^H]]</f>
        <v>0.99964080433167768</v>
      </c>
      <c r="AL84" s="6">
        <f>Tabla13[[#This Row],[Calculated HGA_(Ph2)^H]]/Tabla13[[#This Row],[Real HGA_(Ph2)^H]]</f>
        <v>0.99963782043448235</v>
      </c>
      <c r="AM84" s="6">
        <f>Tabla13[[#This Row],[Calculated HGA_(Ph1)^H]]/Tabla13[[#This Row],[Real HGA_(Ph1)^H]]</f>
        <v>0.99964228846509895</v>
      </c>
    </row>
    <row r="85" spans="1:39">
      <c r="A85" s="6" t="str">
        <f t="shared" si="18"/>
        <v>seismology</v>
      </c>
      <c r="B85" t="s">
        <v>21</v>
      </c>
      <c r="C85">
        <f>_xlfn.XLOOKUP(B85,Instances!$B$2:$B$29,Instances!$A$2:$A$29,,0,1)</f>
        <v>1001</v>
      </c>
      <c r="D85">
        <v>8</v>
      </c>
      <c r="E85">
        <v>67.826300000000003</v>
      </c>
      <c r="F85">
        <v>67.825699999999998</v>
      </c>
      <c r="G85">
        <v>67.788689999999988</v>
      </c>
      <c r="H85">
        <v>67.799909999999997</v>
      </c>
      <c r="I85">
        <v>67.756879999999995</v>
      </c>
      <c r="J85">
        <v>67.904399999999995</v>
      </c>
      <c r="K85">
        <v>67.780349999999999</v>
      </c>
      <c r="L85">
        <v>67.746099999999998</v>
      </c>
      <c r="M85">
        <v>67.822710000000001</v>
      </c>
      <c r="N85" s="7">
        <f t="shared" si="19"/>
        <v>8.8461260603292095E-6</v>
      </c>
      <c r="O85" s="1">
        <f t="shared" si="20"/>
        <v>5.5450466854324967E-4</v>
      </c>
      <c r="P85" s="1">
        <f t="shared" si="21"/>
        <v>3.8908211121653919E-4</v>
      </c>
      <c r="Q85" s="1">
        <f t="shared" si="22"/>
        <v>1.0234967851704725E-3</v>
      </c>
      <c r="R85" s="1">
        <f t="shared" si="23"/>
        <v>-1.1514707421751158E-3</v>
      </c>
      <c r="S85" s="1">
        <f t="shared" si="24"/>
        <v>6.7746582078050577E-4</v>
      </c>
      <c r="T85" s="1">
        <f t="shared" si="25"/>
        <v>1.1824321833861634E-3</v>
      </c>
      <c r="U85" s="1">
        <f t="shared" si="26"/>
        <v>5.2929320927172005E-5</v>
      </c>
      <c r="V85">
        <v>67.691999999999993</v>
      </c>
      <c r="W85">
        <v>67.769599999999997</v>
      </c>
      <c r="X85">
        <v>67.655209999999997</v>
      </c>
      <c r="Y85">
        <v>67.743769999999998</v>
      </c>
      <c r="Z85">
        <v>67.700739999999996</v>
      </c>
      <c r="AA85">
        <v>67.848519999999994</v>
      </c>
      <c r="AB85">
        <v>67.724379999999996</v>
      </c>
      <c r="AC85">
        <v>67.690010000000001</v>
      </c>
      <c r="AD85">
        <v>67.766580000000005</v>
      </c>
      <c r="AE85" s="6">
        <f>Tabla13[[#This Row],[Calculated HEFT_NC]]/Tabla13[[#This Row],[Real HEFT_NC]]</f>
        <v>0.9980199421168483</v>
      </c>
      <c r="AF85" s="6">
        <f>Tabla13[[#This Row],[Calculated HEFT_DNC]]/Tabla13[[#This Row],[Real HEFT_DNC]]</f>
        <v>0.99917287989655834</v>
      </c>
      <c r="AG85" s="6">
        <f>Tabla13[[#This Row],[Calculated GA_NC]]/Tabla13[[#This Row],[Real GA_NC]]</f>
        <v>0.99803093996948467</v>
      </c>
      <c r="AH85" s="6">
        <f>Tabla13[[#This Row],[Calculated GA_DNC]]/Tabla13[[#This Row],[Real GA_DNC]]</f>
        <v>0.99917197530203217</v>
      </c>
      <c r="AI85" s="6">
        <f>Tabla13[[#This Row],[Calculated HGA_(Ph2)]]/Tabla13[[#This Row],[Real HGA_(Ph2)]]</f>
        <v>0.99917144945280834</v>
      </c>
      <c r="AJ85" s="6">
        <f>Tabla13[[#This Row],[Calculated HGA_(Ph1)]]/Tabla13[[#This Row],[Real HGA_(Ph1)]]</f>
        <v>0.99917707836311043</v>
      </c>
      <c r="AK85" s="6">
        <f>Tabla13[[#This Row],[Calculated HGA^H]]/Tabla13[[#This Row],[Real GA^H]]</f>
        <v>0.99917424445285397</v>
      </c>
      <c r="AL85" s="6">
        <f>Tabla13[[#This Row],[Calculated HGA_(Ph2)^H]]/Tabla13[[#This Row],[Real HGA_(Ph2)^H]]</f>
        <v>0.99917205566076872</v>
      </c>
      <c r="AM85" s="6">
        <f>Tabla13[[#This Row],[Calculated HGA_(Ph1)^H]]/Tabla13[[#This Row],[Real HGA_(Ph1)^H]]</f>
        <v>0.99917240110281647</v>
      </c>
    </row>
    <row r="86" spans="1:39">
      <c r="A86" s="6" t="str">
        <f t="shared" si="18"/>
        <v>seismology</v>
      </c>
      <c r="B86" t="s">
        <v>21</v>
      </c>
      <c r="C86">
        <f>_xlfn.XLOOKUP(B86,Instances!$B$2:$B$29,Instances!$A$2:$A$29,,0,1)</f>
        <v>1001</v>
      </c>
      <c r="D86">
        <v>16</v>
      </c>
      <c r="E86">
        <v>34.155999999999999</v>
      </c>
      <c r="F86">
        <v>34.155999999999999</v>
      </c>
      <c r="G86">
        <v>34.198339999999988</v>
      </c>
      <c r="H86">
        <v>34.229769999999988</v>
      </c>
      <c r="I86">
        <v>34.150979999999997</v>
      </c>
      <c r="J86">
        <v>34.648479999999992</v>
      </c>
      <c r="K86">
        <v>34.155889999999992</v>
      </c>
      <c r="L86">
        <v>34.111699999999999</v>
      </c>
      <c r="M86">
        <v>34.155999999999999</v>
      </c>
      <c r="N86" s="7">
        <f t="shared" si="19"/>
        <v>0</v>
      </c>
      <c r="O86" s="1">
        <f t="shared" si="20"/>
        <v>-1.239606511300759E-3</v>
      </c>
      <c r="P86" s="1">
        <f t="shared" si="21"/>
        <v>-2.1597962290663139E-3</v>
      </c>
      <c r="Q86" s="1">
        <f t="shared" si="22"/>
        <v>1.4697271343253897E-4</v>
      </c>
      <c r="R86" s="1">
        <f t="shared" si="23"/>
        <v>-1.441855018151989E-2</v>
      </c>
      <c r="S86" s="1">
        <f t="shared" si="24"/>
        <v>3.2205176252047603E-6</v>
      </c>
      <c r="T86" s="1">
        <f t="shared" si="25"/>
        <v>1.2969902798922529E-3</v>
      </c>
      <c r="U86" s="1">
        <f t="shared" si="26"/>
        <v>0</v>
      </c>
      <c r="V86">
        <v>34.027000000000001</v>
      </c>
      <c r="W86">
        <v>34.096099999999993</v>
      </c>
      <c r="X86">
        <v>34.06935</v>
      </c>
      <c r="Y86">
        <v>34.169699999999992</v>
      </c>
      <c r="Z86">
        <v>34.090940000000003</v>
      </c>
      <c r="AA86">
        <v>34.588529999999999</v>
      </c>
      <c r="AB86">
        <v>34.096009999999993</v>
      </c>
      <c r="AC86">
        <v>34.05162</v>
      </c>
      <c r="AD86">
        <v>34.096099999999993</v>
      </c>
      <c r="AE86" s="6">
        <f>Tabla13[[#This Row],[Calculated HEFT_NC]]/Tabla13[[#This Row],[Real HEFT_NC]]</f>
        <v>0.99622321114884649</v>
      </c>
      <c r="AF86" s="6">
        <f>Tabla13[[#This Row],[Calculated HEFT_DNC]]/Tabla13[[#This Row],[Real HEFT_DNC]]</f>
        <v>0.9982462817660146</v>
      </c>
      <c r="AG86" s="6">
        <f>Tabla13[[#This Row],[Calculated GA_NC]]/Tabla13[[#This Row],[Real GA_NC]]</f>
        <v>0.99622817949643205</v>
      </c>
      <c r="AH86" s="6">
        <f>Tabla13[[#This Row],[Calculated GA_DNC]]/Tabla13[[#This Row],[Real GA_DNC]]</f>
        <v>0.9982450948399596</v>
      </c>
      <c r="AI86" s="6">
        <f>Tabla13[[#This Row],[Calculated HGA_(Ph2)]]/Tabla13[[#This Row],[Real HGA_(Ph2)]]</f>
        <v>0.99824192453627991</v>
      </c>
      <c r="AJ86" s="6">
        <f>Tabla13[[#This Row],[Calculated HGA_(Ph1)]]/Tabla13[[#This Row],[Real HGA_(Ph1)]]</f>
        <v>0.99826976536921697</v>
      </c>
      <c r="AK86" s="6">
        <f>Tabla13[[#This Row],[Calculated HGA^H]]/Tabla13[[#This Row],[Real GA^H]]</f>
        <v>0.99824686166866095</v>
      </c>
      <c r="AL86" s="6">
        <f>Tabla13[[#This Row],[Calculated HGA_(Ph2)^H]]/Tabla13[[#This Row],[Real HGA_(Ph2)^H]]</f>
        <v>0.99823872747473741</v>
      </c>
      <c r="AM86" s="6">
        <f>Tabla13[[#This Row],[Calculated HGA_(Ph1)^H]]/Tabla13[[#This Row],[Real HGA_(Ph1)^H]]</f>
        <v>0.9982462817660146</v>
      </c>
    </row>
    <row r="87" spans="1:39">
      <c r="A87" s="6" t="str">
        <f t="shared" si="18"/>
        <v>seismology</v>
      </c>
      <c r="B87" t="s">
        <v>18</v>
      </c>
      <c r="C87">
        <f>_xlfn.XLOOKUP(B87,Instances!$B$2:$B$29,Instances!$A$2:$A$29,,0,1)</f>
        <v>101</v>
      </c>
      <c r="D87">
        <v>1</v>
      </c>
      <c r="E87">
        <v>71.912400000000019</v>
      </c>
      <c r="F87">
        <v>71.912400000000019</v>
      </c>
      <c r="G87">
        <v>71.912400000000019</v>
      </c>
      <c r="H87">
        <v>71.912400000000019</v>
      </c>
      <c r="I87">
        <v>71.912400000000019</v>
      </c>
      <c r="J87">
        <v>71.912400000000019</v>
      </c>
      <c r="K87">
        <v>71.912400000000019</v>
      </c>
      <c r="L87">
        <v>71.912400000000019</v>
      </c>
      <c r="M87">
        <v>71.912400000000019</v>
      </c>
      <c r="N87" s="7">
        <f t="shared" si="19"/>
        <v>0</v>
      </c>
      <c r="O87" s="1">
        <f t="shared" si="20"/>
        <v>0</v>
      </c>
      <c r="P87" s="1">
        <f t="shared" si="21"/>
        <v>0</v>
      </c>
      <c r="Q87" s="1">
        <f t="shared" si="22"/>
        <v>0</v>
      </c>
      <c r="R87" s="1">
        <f t="shared" si="23"/>
        <v>0</v>
      </c>
      <c r="S87" s="1">
        <f t="shared" si="24"/>
        <v>0</v>
      </c>
      <c r="T87" s="1">
        <f t="shared" si="25"/>
        <v>0</v>
      </c>
      <c r="U87" s="1">
        <f t="shared" si="26"/>
        <v>0</v>
      </c>
      <c r="V87">
        <v>71.893000000000001</v>
      </c>
      <c r="W87">
        <v>71.912099999999995</v>
      </c>
      <c r="X87">
        <v>71.893000000000001</v>
      </c>
      <c r="Y87">
        <v>71.912099999999995</v>
      </c>
      <c r="Z87">
        <v>71.912099999999995</v>
      </c>
      <c r="AA87">
        <v>71.912099999999995</v>
      </c>
      <c r="AB87">
        <v>71.912099999999995</v>
      </c>
      <c r="AC87">
        <v>71.912099999999995</v>
      </c>
      <c r="AD87">
        <v>71.912099999999995</v>
      </c>
      <c r="AE87" s="6">
        <f>Tabla13[[#This Row],[Calculated HEFT_NC]]/Tabla13[[#This Row],[Real HEFT_NC]]</f>
        <v>0.99973022733214278</v>
      </c>
      <c r="AF87" s="6">
        <f>Tabla13[[#This Row],[Calculated HEFT_DNC]]/Tabla13[[#This Row],[Real HEFT_DNC]]</f>
        <v>0.99999582825771327</v>
      </c>
      <c r="AG87" s="6">
        <f>Tabla13[[#This Row],[Calculated GA_NC]]/Tabla13[[#This Row],[Real GA_NC]]</f>
        <v>0.99973022733214278</v>
      </c>
      <c r="AH87" s="6">
        <f>Tabla13[[#This Row],[Calculated GA_DNC]]/Tabla13[[#This Row],[Real GA_DNC]]</f>
        <v>0.99999582825771327</v>
      </c>
      <c r="AI87" s="6">
        <f>Tabla13[[#This Row],[Calculated HGA_(Ph2)]]/Tabla13[[#This Row],[Real HGA_(Ph2)]]</f>
        <v>0.99999582825771327</v>
      </c>
      <c r="AJ87" s="6">
        <f>Tabla13[[#This Row],[Calculated HGA_(Ph1)]]/Tabla13[[#This Row],[Real HGA_(Ph1)]]</f>
        <v>0.99999582825771327</v>
      </c>
      <c r="AK87" s="6">
        <f>Tabla13[[#This Row],[Calculated HGA^H]]/Tabla13[[#This Row],[Real GA^H]]</f>
        <v>0.99999582825771327</v>
      </c>
      <c r="AL87" s="6">
        <f>Tabla13[[#This Row],[Calculated HGA_(Ph2)^H]]/Tabla13[[#This Row],[Real HGA_(Ph2)^H]]</f>
        <v>0.99999582825771327</v>
      </c>
      <c r="AM87" s="6">
        <f>Tabla13[[#This Row],[Calculated HGA_(Ph1)^H]]/Tabla13[[#This Row],[Real HGA_(Ph1)^H]]</f>
        <v>0.99999582825771327</v>
      </c>
    </row>
    <row r="88" spans="1:39">
      <c r="A88" s="6" t="str">
        <f t="shared" si="18"/>
        <v>seismology</v>
      </c>
      <c r="B88" t="s">
        <v>18</v>
      </c>
      <c r="C88">
        <f>_xlfn.XLOOKUP(B88,Instances!$B$2:$B$29,Instances!$A$2:$A$29,,0,1)</f>
        <v>101</v>
      </c>
      <c r="D88">
        <v>2</v>
      </c>
      <c r="E88">
        <v>36.006899999999987</v>
      </c>
      <c r="F88">
        <v>36.006999999999998</v>
      </c>
      <c r="G88">
        <v>36.006970000000003</v>
      </c>
      <c r="H88">
        <v>36.006680000000003</v>
      </c>
      <c r="I88">
        <v>36.006680000000003</v>
      </c>
      <c r="J88">
        <v>36.006700000000009</v>
      </c>
      <c r="K88">
        <v>36.006680000000003</v>
      </c>
      <c r="L88">
        <v>36.006700000000009</v>
      </c>
      <c r="M88">
        <v>36.006700000000009</v>
      </c>
      <c r="N88" s="7">
        <f t="shared" si="19"/>
        <v>-2.7772454726850998E-6</v>
      </c>
      <c r="O88" s="1">
        <f t="shared" si="20"/>
        <v>-1.9440718310966386E-6</v>
      </c>
      <c r="P88" s="1">
        <f t="shared" si="21"/>
        <v>6.1099400388416097E-6</v>
      </c>
      <c r="Q88" s="1">
        <f t="shared" si="22"/>
        <v>6.1099400388416097E-6</v>
      </c>
      <c r="R88" s="1">
        <f t="shared" si="23"/>
        <v>5.5544909441861881E-6</v>
      </c>
      <c r="S88" s="1">
        <f t="shared" si="24"/>
        <v>6.1099400388416097E-6</v>
      </c>
      <c r="T88" s="1">
        <f t="shared" si="25"/>
        <v>5.5544909441861881E-6</v>
      </c>
      <c r="U88" s="1">
        <f t="shared" si="26"/>
        <v>5.5544909441861881E-6</v>
      </c>
      <c r="V88">
        <v>35.991</v>
      </c>
      <c r="W88">
        <v>36.003999999999998</v>
      </c>
      <c r="X88">
        <v>35.991</v>
      </c>
      <c r="Y88">
        <v>36.00350000000001</v>
      </c>
      <c r="Z88">
        <v>36.00350000000001</v>
      </c>
      <c r="AA88">
        <v>36.00350000000001</v>
      </c>
      <c r="AB88">
        <v>36.003560000000007</v>
      </c>
      <c r="AC88">
        <v>36.00350000000001</v>
      </c>
      <c r="AD88">
        <v>36.00350000000001</v>
      </c>
      <c r="AE88" s="6">
        <f>Tabla13[[#This Row],[Calculated HEFT_NC]]/Tabla13[[#This Row],[Real HEFT_NC]]</f>
        <v>0.99955841796988942</v>
      </c>
      <c r="AF88" s="6">
        <f>Tabla13[[#This Row],[Calculated HEFT_DNC]]/Tabla13[[#This Row],[Real HEFT_DNC]]</f>
        <v>0.99991668286722024</v>
      </c>
      <c r="AG88" s="6">
        <f>Tabla13[[#This Row],[Calculated GA_NC]]/Tabla13[[#This Row],[Real GA_NC]]</f>
        <v>0.99955647476030329</v>
      </c>
      <c r="AH88" s="6">
        <f>Tabla13[[#This Row],[Calculated GA_DNC]]/Tabla13[[#This Row],[Real GA_DNC]]</f>
        <v>0.99991168305436673</v>
      </c>
      <c r="AI88" s="6">
        <f>Tabla13[[#This Row],[Calculated HGA_(Ph2)]]/Tabla13[[#This Row],[Real HGA_(Ph2)]]</f>
        <v>0.99991168305436673</v>
      </c>
      <c r="AJ88" s="6">
        <f>Tabla13[[#This Row],[Calculated HGA_(Ph1)]]/Tabla13[[#This Row],[Real HGA_(Ph1)]]</f>
        <v>0.99991112765124268</v>
      </c>
      <c r="AK88" s="6">
        <f>Tabla13[[#This Row],[Calculated HGA^H]]/Tabla13[[#This Row],[Real GA^H]]</f>
        <v>0.99991334941183152</v>
      </c>
      <c r="AL88" s="6">
        <f>Tabla13[[#This Row],[Calculated HGA_(Ph2)^H]]/Tabla13[[#This Row],[Real HGA_(Ph2)^H]]</f>
        <v>0.99991112765124268</v>
      </c>
      <c r="AM88" s="6">
        <f>Tabla13[[#This Row],[Calculated HGA_(Ph1)^H]]/Tabla13[[#This Row],[Real HGA_(Ph1)^H]]</f>
        <v>0.99991112765124268</v>
      </c>
    </row>
    <row r="89" spans="1:39">
      <c r="A89" s="6" t="str">
        <f t="shared" si="18"/>
        <v>seismology</v>
      </c>
      <c r="B89" t="s">
        <v>18</v>
      </c>
      <c r="C89">
        <f>_xlfn.XLOOKUP(B89,Instances!$B$2:$B$29,Instances!$A$2:$A$29,,0,1)</f>
        <v>101</v>
      </c>
      <c r="D89">
        <v>4</v>
      </c>
      <c r="E89">
        <v>18.057099999999998</v>
      </c>
      <c r="F89">
        <v>18.056699999999999</v>
      </c>
      <c r="G89">
        <v>18.069320000000001</v>
      </c>
      <c r="H89">
        <v>18.0688</v>
      </c>
      <c r="I89">
        <v>18.054320000000001</v>
      </c>
      <c r="J89">
        <v>18.081700000000001</v>
      </c>
      <c r="K89">
        <v>18.056170000000002</v>
      </c>
      <c r="L89">
        <v>18.053850000000001</v>
      </c>
      <c r="M89">
        <v>18.056699999999999</v>
      </c>
      <c r="N89" s="7">
        <f t="shared" si="19"/>
        <v>2.2151951309959395E-5</v>
      </c>
      <c r="O89" s="1">
        <f t="shared" si="20"/>
        <v>-6.7674211252099093E-4</v>
      </c>
      <c r="P89" s="1">
        <f t="shared" si="21"/>
        <v>-6.4794457581788634E-4</v>
      </c>
      <c r="Q89" s="1">
        <f t="shared" si="22"/>
        <v>1.5395606160445389E-4</v>
      </c>
      <c r="R89" s="1">
        <f t="shared" si="23"/>
        <v>-1.3623450055658475E-3</v>
      </c>
      <c r="S89" s="1">
        <f t="shared" si="24"/>
        <v>5.1503286795596567E-5</v>
      </c>
      <c r="T89" s="1">
        <f t="shared" si="25"/>
        <v>1.799846043937152E-4</v>
      </c>
      <c r="U89" s="1">
        <f t="shared" si="26"/>
        <v>2.2151951309959395E-5</v>
      </c>
      <c r="V89">
        <v>18.042999999999999</v>
      </c>
      <c r="W89">
        <v>18.052</v>
      </c>
      <c r="X89">
        <v>18.055499999999999</v>
      </c>
      <c r="Y89">
        <v>18.06419</v>
      </c>
      <c r="Z89">
        <v>18.04964</v>
      </c>
      <c r="AA89">
        <v>18.07705</v>
      </c>
      <c r="AB89">
        <v>18.051469999999998</v>
      </c>
      <c r="AC89">
        <v>18.049199999999999</v>
      </c>
      <c r="AD89">
        <v>18.052</v>
      </c>
      <c r="AE89" s="6">
        <f>Tabla13[[#This Row],[Calculated HEFT_NC]]/Tabla13[[#This Row],[Real HEFT_NC]]</f>
        <v>0.99921914371632214</v>
      </c>
      <c r="AF89" s="6">
        <f>Tabla13[[#This Row],[Calculated HEFT_DNC]]/Tabla13[[#This Row],[Real HEFT_DNC]]</f>
        <v>0.99973970880614949</v>
      </c>
      <c r="AG89" s="6">
        <f>Tabla13[[#This Row],[Calculated GA_NC]]/Tabla13[[#This Row],[Real GA_NC]]</f>
        <v>0.99923516767648135</v>
      </c>
      <c r="AH89" s="6">
        <f>Tabla13[[#This Row],[Calculated GA_DNC]]/Tabla13[[#This Row],[Real GA_DNC]]</f>
        <v>0.99974486407509078</v>
      </c>
      <c r="AI89" s="6">
        <f>Tabla13[[#This Row],[Calculated HGA_(Ph2)]]/Tabla13[[#This Row],[Real HGA_(Ph2)]]</f>
        <v>0.99974078226153074</v>
      </c>
      <c r="AJ89" s="6">
        <f>Tabla13[[#This Row],[Calculated HGA_(Ph1)]]/Tabla13[[#This Row],[Real HGA_(Ph1)]]</f>
        <v>0.99974283391495256</v>
      </c>
      <c r="AK89" s="6">
        <f>Tabla13[[#This Row],[Calculated HGA^H]]/Tabla13[[#This Row],[Real GA^H]]</f>
        <v>0.99973970116586164</v>
      </c>
      <c r="AL89" s="6">
        <f>Tabla13[[#This Row],[Calculated HGA_(Ph2)^H]]/Tabla13[[#This Row],[Real HGA_(Ph2)^H]]</f>
        <v>0.99974243720868394</v>
      </c>
      <c r="AM89" s="6">
        <f>Tabla13[[#This Row],[Calculated HGA_(Ph1)^H]]/Tabla13[[#This Row],[Real HGA_(Ph1)^H]]</f>
        <v>0.99973970880614949</v>
      </c>
    </row>
    <row r="90" spans="1:39">
      <c r="A90" s="6" t="str">
        <f t="shared" si="18"/>
        <v>seismology</v>
      </c>
      <c r="B90" t="s">
        <v>18</v>
      </c>
      <c r="C90">
        <f>_xlfn.XLOOKUP(B90,Instances!$B$2:$B$29,Instances!$A$2:$A$29,,0,1)</f>
        <v>101</v>
      </c>
      <c r="D90">
        <v>8</v>
      </c>
      <c r="E90">
        <v>9.1410300000000007</v>
      </c>
      <c r="F90">
        <v>9.1404200000000024</v>
      </c>
      <c r="G90">
        <v>9.1247310000000006</v>
      </c>
      <c r="H90">
        <v>9.1266799999999986</v>
      </c>
      <c r="I90">
        <v>9.081646000000001</v>
      </c>
      <c r="J90">
        <v>9.290010999999998</v>
      </c>
      <c r="K90">
        <v>9.1136360000000014</v>
      </c>
      <c r="L90">
        <v>9.0781570000000009</v>
      </c>
      <c r="M90">
        <v>9.1385080000000016</v>
      </c>
      <c r="N90" s="7">
        <f t="shared" si="19"/>
        <v>6.6732085990115226E-5</v>
      </c>
      <c r="O90" s="1">
        <f t="shared" si="20"/>
        <v>1.7830594582886241E-3</v>
      </c>
      <c r="P90" s="1">
        <f t="shared" si="21"/>
        <v>1.569844973706692E-3</v>
      </c>
      <c r="Q90" s="1">
        <f t="shared" si="22"/>
        <v>6.4964232695877439E-3</v>
      </c>
      <c r="R90" s="1">
        <f t="shared" si="23"/>
        <v>-1.6298053939216624E-2</v>
      </c>
      <c r="S90" s="1">
        <f t="shared" si="24"/>
        <v>2.9968176452762163E-3</v>
      </c>
      <c r="T90" s="1">
        <f t="shared" si="25"/>
        <v>6.8781089220798673E-3</v>
      </c>
      <c r="U90" s="1">
        <f t="shared" si="26"/>
        <v>2.758988866680259E-4</v>
      </c>
      <c r="V90">
        <v>9.1280400000000004</v>
      </c>
      <c r="W90">
        <v>9.1351600000000008</v>
      </c>
      <c r="X90">
        <v>9.1119080000000015</v>
      </c>
      <c r="Y90">
        <v>9.1212359999999997</v>
      </c>
      <c r="Z90">
        <v>9.0760839999999998</v>
      </c>
      <c r="AA90">
        <v>9.2845439999999986</v>
      </c>
      <c r="AB90">
        <v>9.1082059999999991</v>
      </c>
      <c r="AC90">
        <v>9.0727280000000015</v>
      </c>
      <c r="AD90">
        <v>9.1332250000000013</v>
      </c>
      <c r="AE90" s="6">
        <f>Tabla13[[#This Row],[Calculated HEFT_NC]]/Tabla13[[#This Row],[Real HEFT_NC]]</f>
        <v>0.99857893475899318</v>
      </c>
      <c r="AF90" s="6">
        <f>Tabla13[[#This Row],[Calculated HEFT_DNC]]/Tabla13[[#This Row],[Real HEFT_DNC]]</f>
        <v>0.99942453410237153</v>
      </c>
      <c r="AG90" s="6">
        <f>Tabla13[[#This Row],[Calculated GA_NC]]/Tabla13[[#This Row],[Real GA_NC]]</f>
        <v>0.99859469829850334</v>
      </c>
      <c r="AH90" s="6">
        <f>Tabla13[[#This Row],[Calculated GA_DNC]]/Tabla13[[#This Row],[Real GA_DNC]]</f>
        <v>0.99940350708034043</v>
      </c>
      <c r="AI90" s="6">
        <f>Tabla13[[#This Row],[Calculated HGA_(Ph2)]]/Tabla13[[#This Row],[Real HGA_(Ph2)]]</f>
        <v>0.99938755595626594</v>
      </c>
      <c r="AJ90" s="6">
        <f>Tabla13[[#This Row],[Calculated HGA_(Ph1)]]/Tabla13[[#This Row],[Real HGA_(Ph1)]]</f>
        <v>0.99941151845783616</v>
      </c>
      <c r="AK90" s="6">
        <f>Tabla13[[#This Row],[Calculated HGA^H]]/Tabla13[[#This Row],[Real GA^H]]</f>
        <v>0.99940418950241128</v>
      </c>
      <c r="AL90" s="6">
        <f>Tabla13[[#This Row],[Calculated HGA_(Ph2)^H]]/Tabla13[[#This Row],[Real HGA_(Ph2)^H]]</f>
        <v>0.99940197112695894</v>
      </c>
      <c r="AM90" s="6">
        <f>Tabla13[[#This Row],[Calculated HGA_(Ph1)^H]]/Tabla13[[#This Row],[Real HGA_(Ph1)^H]]</f>
        <v>0.99942189687857141</v>
      </c>
    </row>
    <row r="91" spans="1:39">
      <c r="A91" s="6" t="str">
        <f t="shared" si="18"/>
        <v>seismology</v>
      </c>
      <c r="B91" t="s">
        <v>18</v>
      </c>
      <c r="C91">
        <f>_xlfn.XLOOKUP(B91,Instances!$B$2:$B$29,Instances!$A$2:$A$29,,0,1)</f>
        <v>101</v>
      </c>
      <c r="D91">
        <v>16</v>
      </c>
      <c r="E91">
        <v>4.6395099999999996</v>
      </c>
      <c r="F91">
        <v>4.6395199999999992</v>
      </c>
      <c r="G91">
        <v>4.7650769999999998</v>
      </c>
      <c r="H91">
        <v>4.7559469999999999</v>
      </c>
      <c r="I91">
        <v>4.6249880000000001</v>
      </c>
      <c r="J91">
        <v>4.8573199999999996</v>
      </c>
      <c r="K91">
        <v>4.6381300000000012</v>
      </c>
      <c r="L91">
        <v>4.5930780000000002</v>
      </c>
      <c r="M91">
        <v>4.6395199999999992</v>
      </c>
      <c r="N91" s="7">
        <f t="shared" si="19"/>
        <v>-2.1554000313872422E-6</v>
      </c>
      <c r="O91" s="1">
        <f t="shared" si="20"/>
        <v>-2.7064711575144836E-2</v>
      </c>
      <c r="P91" s="1">
        <f t="shared" si="21"/>
        <v>-2.5096831346413814E-2</v>
      </c>
      <c r="Q91" s="1">
        <f t="shared" si="22"/>
        <v>3.1300719256989384E-3</v>
      </c>
      <c r="R91" s="1">
        <f t="shared" si="23"/>
        <v>-4.6946768085422828E-2</v>
      </c>
      <c r="S91" s="1">
        <f t="shared" si="24"/>
        <v>2.9744520434235139E-4</v>
      </c>
      <c r="T91" s="1">
        <f t="shared" si="25"/>
        <v>1.0007953426115983E-2</v>
      </c>
      <c r="U91" s="1">
        <f t="shared" si="26"/>
        <v>-2.1554000313872422E-6</v>
      </c>
      <c r="V91">
        <v>4.62704</v>
      </c>
      <c r="W91">
        <v>4.6337999999999999</v>
      </c>
      <c r="X91">
        <v>4.7527290000000004</v>
      </c>
      <c r="Y91">
        <v>4.7502030000000008</v>
      </c>
      <c r="Z91">
        <v>4.6190920000000002</v>
      </c>
      <c r="AA91">
        <v>4.8514720000000002</v>
      </c>
      <c r="AB91">
        <v>4.6323960000000008</v>
      </c>
      <c r="AC91">
        <v>4.5872459999999986</v>
      </c>
      <c r="AD91">
        <v>4.6337999999999999</v>
      </c>
      <c r="AE91" s="6">
        <f>Tabla13[[#This Row],[Calculated HEFT_NC]]/Tabla13[[#This Row],[Real HEFT_NC]]</f>
        <v>0.99731221616075849</v>
      </c>
      <c r="AF91" s="6">
        <f>Tabla13[[#This Row],[Calculated HEFT_DNC]]/Tabla13[[#This Row],[Real HEFT_DNC]]</f>
        <v>0.9987671138393629</v>
      </c>
      <c r="AG91" s="6">
        <f>Tabla13[[#This Row],[Calculated GA_NC]]/Tabla13[[#This Row],[Real GA_NC]]</f>
        <v>0.99740864628210635</v>
      </c>
      <c r="AH91" s="6">
        <f>Tabla13[[#This Row],[Calculated GA_DNC]]/Tabla13[[#This Row],[Real GA_DNC]]</f>
        <v>0.99879224894642449</v>
      </c>
      <c r="AI91" s="6">
        <f>Tabla13[[#This Row],[Calculated HGA_(Ph2)]]/Tabla13[[#This Row],[Real HGA_(Ph2)]]</f>
        <v>0.99872518588156334</v>
      </c>
      <c r="AJ91" s="6">
        <f>Tabla13[[#This Row],[Calculated HGA_(Ph1)]]/Tabla13[[#This Row],[Real HGA_(Ph1)]]</f>
        <v>0.99879604390898702</v>
      </c>
      <c r="AK91" s="6">
        <f>Tabla13[[#This Row],[Calculated HGA^H]]/Tabla13[[#This Row],[Real GA^H]]</f>
        <v>0.99876372589815288</v>
      </c>
      <c r="AL91" s="6">
        <f>Tabla13[[#This Row],[Calculated HGA_(Ph2)^H]]/Tabla13[[#This Row],[Real HGA_(Ph2)^H]]</f>
        <v>0.99873026323524194</v>
      </c>
      <c r="AM91" s="6">
        <f>Tabla13[[#This Row],[Calculated HGA_(Ph1)^H]]/Tabla13[[#This Row],[Real HGA_(Ph1)^H]]</f>
        <v>0.9987671138393629</v>
      </c>
    </row>
    <row r="92" spans="1:39">
      <c r="A92" s="6" t="str">
        <f t="shared" si="18"/>
        <v>seismology</v>
      </c>
      <c r="B92" t="s">
        <v>19</v>
      </c>
      <c r="C92">
        <f>_xlfn.XLOOKUP(B92,Instances!$B$2:$B$29,Instances!$A$2:$A$29,,0,1)</f>
        <v>501</v>
      </c>
      <c r="D92">
        <v>1</v>
      </c>
      <c r="E92">
        <v>288.20100000000002</v>
      </c>
      <c r="F92">
        <v>288.20100000000002</v>
      </c>
      <c r="G92">
        <v>288.20100000000002</v>
      </c>
      <c r="H92">
        <v>288.20100000000002</v>
      </c>
      <c r="I92">
        <v>288.20100000000002</v>
      </c>
      <c r="J92">
        <v>288.20100000000002</v>
      </c>
      <c r="K92">
        <v>288.20100000000002</v>
      </c>
      <c r="L92">
        <v>288.20100000000002</v>
      </c>
      <c r="M92">
        <v>288.20100000000002</v>
      </c>
      <c r="N92" s="7">
        <f t="shared" si="19"/>
        <v>0</v>
      </c>
      <c r="O92" s="1">
        <f t="shared" si="20"/>
        <v>0</v>
      </c>
      <c r="P92" s="1">
        <f t="shared" si="21"/>
        <v>0</v>
      </c>
      <c r="Q92" s="1">
        <f t="shared" si="22"/>
        <v>0</v>
      </c>
      <c r="R92" s="1">
        <f t="shared" si="23"/>
        <v>0</v>
      </c>
      <c r="S92" s="1">
        <f t="shared" si="24"/>
        <v>0</v>
      </c>
      <c r="T92" s="1">
        <f t="shared" si="25"/>
        <v>0</v>
      </c>
      <c r="U92" s="1">
        <f t="shared" si="26"/>
        <v>0</v>
      </c>
      <c r="V92">
        <v>288.10300000000001</v>
      </c>
      <c r="W92">
        <v>288.19900000000001</v>
      </c>
      <c r="X92">
        <v>288.10300000000001</v>
      </c>
      <c r="Y92">
        <v>288.19900000000001</v>
      </c>
      <c r="Z92">
        <v>288.19900000000001</v>
      </c>
      <c r="AA92">
        <v>288.19900000000001</v>
      </c>
      <c r="AB92">
        <v>288.19900000000001</v>
      </c>
      <c r="AC92">
        <v>288.19900000000001</v>
      </c>
      <c r="AD92">
        <v>288.19900000000001</v>
      </c>
      <c r="AE92" s="6">
        <f>Tabla13[[#This Row],[Calculated HEFT_NC]]/Tabla13[[#This Row],[Real HEFT_NC]]</f>
        <v>0.99965995954212505</v>
      </c>
      <c r="AF92" s="6">
        <f>Tabla13[[#This Row],[Calculated HEFT_DNC]]/Tabla13[[#This Row],[Real HEFT_DNC]]</f>
        <v>0.99999306039881886</v>
      </c>
      <c r="AG92" s="6">
        <f>Tabla13[[#This Row],[Calculated GA_NC]]/Tabla13[[#This Row],[Real GA_NC]]</f>
        <v>0.99965995954212505</v>
      </c>
      <c r="AH92" s="6">
        <f>Tabla13[[#This Row],[Calculated GA_DNC]]/Tabla13[[#This Row],[Real GA_DNC]]</f>
        <v>0.99999306039881886</v>
      </c>
      <c r="AI92" s="6">
        <f>Tabla13[[#This Row],[Calculated HGA_(Ph2)]]/Tabla13[[#This Row],[Real HGA_(Ph2)]]</f>
        <v>0.99999306039881886</v>
      </c>
      <c r="AJ92" s="6">
        <f>Tabla13[[#This Row],[Calculated HGA_(Ph1)]]/Tabla13[[#This Row],[Real HGA_(Ph1)]]</f>
        <v>0.99999306039881886</v>
      </c>
      <c r="AK92" s="6">
        <f>Tabla13[[#This Row],[Calculated HGA^H]]/Tabla13[[#This Row],[Real GA^H]]</f>
        <v>0.99999306039881886</v>
      </c>
      <c r="AL92" s="6">
        <f>Tabla13[[#This Row],[Calculated HGA_(Ph2)^H]]/Tabla13[[#This Row],[Real HGA_(Ph2)^H]]</f>
        <v>0.99999306039881886</v>
      </c>
      <c r="AM92" s="6">
        <f>Tabla13[[#This Row],[Calculated HGA_(Ph1)^H]]/Tabla13[[#This Row],[Real HGA_(Ph1)^H]]</f>
        <v>0.99999306039881886</v>
      </c>
    </row>
    <row r="93" spans="1:39">
      <c r="A93" s="6" t="str">
        <f t="shared" si="18"/>
        <v>seismology</v>
      </c>
      <c r="B93" t="s">
        <v>19</v>
      </c>
      <c r="C93">
        <f>_xlfn.XLOOKUP(B93,Instances!$B$2:$B$29,Instances!$A$2:$A$29,,0,1)</f>
        <v>501</v>
      </c>
      <c r="D93">
        <v>2</v>
      </c>
      <c r="E93">
        <v>144.27600000000001</v>
      </c>
      <c r="F93">
        <v>144.27600000000001</v>
      </c>
      <c r="G93">
        <v>144.23140000000001</v>
      </c>
      <c r="H93">
        <v>144.23070000000001</v>
      </c>
      <c r="I93">
        <v>144.23050000000001</v>
      </c>
      <c r="J93">
        <v>144.23070000000001</v>
      </c>
      <c r="K93">
        <v>144.23079999999999</v>
      </c>
      <c r="L93">
        <v>144.2304</v>
      </c>
      <c r="M93">
        <v>144.2304</v>
      </c>
      <c r="N93" s="7">
        <f t="shared" si="19"/>
        <v>0</v>
      </c>
      <c r="O93" s="1">
        <f t="shared" si="20"/>
        <v>3.0912972358536854E-4</v>
      </c>
      <c r="P93" s="1">
        <f t="shared" si="21"/>
        <v>3.1398153539048386E-4</v>
      </c>
      <c r="Q93" s="1">
        <f t="shared" si="22"/>
        <v>3.1536776733485878E-4</v>
      </c>
      <c r="R93" s="1">
        <f t="shared" si="23"/>
        <v>3.1398153539048386E-4</v>
      </c>
      <c r="S93" s="1">
        <f t="shared" si="24"/>
        <v>3.1328841941849337E-4</v>
      </c>
      <c r="T93" s="1">
        <f t="shared" si="25"/>
        <v>3.1606088330704627E-4</v>
      </c>
      <c r="U93" s="1">
        <f t="shared" si="26"/>
        <v>3.1606088330704627E-4</v>
      </c>
      <c r="V93">
        <v>144.197</v>
      </c>
      <c r="W93">
        <v>144.26</v>
      </c>
      <c r="X93">
        <v>144.15199999999999</v>
      </c>
      <c r="Y93">
        <v>144.214</v>
      </c>
      <c r="Z93">
        <v>144.214</v>
      </c>
      <c r="AA93">
        <v>144.214</v>
      </c>
      <c r="AB93">
        <v>144.214</v>
      </c>
      <c r="AC93">
        <v>144.214</v>
      </c>
      <c r="AD93">
        <v>144.214</v>
      </c>
      <c r="AE93" s="6">
        <f>Tabla13[[#This Row],[Calculated HEFT_NC]]/Tabla13[[#This Row],[Real HEFT_NC]]</f>
        <v>0.99945243838199005</v>
      </c>
      <c r="AF93" s="6">
        <f>Tabla13[[#This Row],[Calculated HEFT_DNC]]/Tabla13[[#This Row],[Real HEFT_DNC]]</f>
        <v>0.99988910144445353</v>
      </c>
      <c r="AG93" s="6">
        <f>Tabla13[[#This Row],[Calculated GA_NC]]/Tabla13[[#This Row],[Real GA_NC]]</f>
        <v>0.99944949574087183</v>
      </c>
      <c r="AH93" s="6">
        <f>Tabla13[[#This Row],[Calculated GA_DNC]]/Tabla13[[#This Row],[Real GA_DNC]]</f>
        <v>0.99988421327775556</v>
      </c>
      <c r="AI93" s="6">
        <f>Tabla13[[#This Row],[Calculated HGA_(Ph2)]]/Tabla13[[#This Row],[Real HGA_(Ph2)]]</f>
        <v>0.99988559978645286</v>
      </c>
      <c r="AJ93" s="6">
        <f>Tabla13[[#This Row],[Calculated HGA_(Ph1)]]/Tabla13[[#This Row],[Real HGA_(Ph1)]]</f>
        <v>0.99988421327775556</v>
      </c>
      <c r="AK93" s="6">
        <f>Tabla13[[#This Row],[Calculated HGA^H]]/Tabla13[[#This Row],[Real GA^H]]</f>
        <v>0.99988352002484915</v>
      </c>
      <c r="AL93" s="6">
        <f>Tabla13[[#This Row],[Calculated HGA_(Ph2)^H]]/Tabla13[[#This Row],[Real HGA_(Ph2)^H]]</f>
        <v>0.99988629304224352</v>
      </c>
      <c r="AM93" s="6">
        <f>Tabla13[[#This Row],[Calculated HGA_(Ph1)^H]]/Tabla13[[#This Row],[Real HGA_(Ph1)^H]]</f>
        <v>0.99988629304224352</v>
      </c>
    </row>
    <row r="94" spans="1:39">
      <c r="A94" s="6" t="str">
        <f t="shared" si="18"/>
        <v>seismology</v>
      </c>
      <c r="B94" t="s">
        <v>19</v>
      </c>
      <c r="C94">
        <f>_xlfn.XLOOKUP(B94,Instances!$B$2:$B$29,Instances!$A$2:$A$29,,0,1)</f>
        <v>501</v>
      </c>
      <c r="D94">
        <v>4</v>
      </c>
      <c r="E94">
        <v>72.312300000000008</v>
      </c>
      <c r="F94">
        <v>72.31280000000001</v>
      </c>
      <c r="G94">
        <v>72.25949</v>
      </c>
      <c r="H94">
        <v>72.263599999999997</v>
      </c>
      <c r="I94">
        <v>72.24524000000001</v>
      </c>
      <c r="J94">
        <v>72.410000000000011</v>
      </c>
      <c r="K94">
        <v>72.251549999999995</v>
      </c>
      <c r="L94">
        <v>72.245260000000002</v>
      </c>
      <c r="M94">
        <v>72.306750000000008</v>
      </c>
      <c r="N94" s="7">
        <f t="shared" si="19"/>
        <v>-6.9144530045702791E-6</v>
      </c>
      <c r="O94" s="1">
        <f t="shared" si="20"/>
        <v>7.3030452633933657E-4</v>
      </c>
      <c r="P94" s="1">
        <f t="shared" si="21"/>
        <v>6.7346772264207939E-4</v>
      </c>
      <c r="Q94" s="1">
        <f t="shared" si="22"/>
        <v>9.2736643696850868E-4</v>
      </c>
      <c r="R94" s="1">
        <f t="shared" si="23"/>
        <v>-1.351084117086626E-3</v>
      </c>
      <c r="S94" s="1">
        <f t="shared" si="24"/>
        <v>8.4010604005145669E-4</v>
      </c>
      <c r="T94" s="1">
        <f t="shared" si="25"/>
        <v>9.2708985884843592E-4</v>
      </c>
      <c r="U94" s="1">
        <f t="shared" si="26"/>
        <v>7.6750428350356699E-5</v>
      </c>
      <c r="V94">
        <v>72.242999999999981</v>
      </c>
      <c r="W94">
        <v>72.289500000000004</v>
      </c>
      <c r="X94">
        <v>72.19</v>
      </c>
      <c r="Y94">
        <v>72.239850000000004</v>
      </c>
      <c r="Z94">
        <v>72.221790000000013</v>
      </c>
      <c r="AA94">
        <v>72.386350000000007</v>
      </c>
      <c r="AB94">
        <v>72.228219999999993</v>
      </c>
      <c r="AC94">
        <v>72.221700000000013</v>
      </c>
      <c r="AD94">
        <v>72.283370000000005</v>
      </c>
      <c r="AE94" s="6">
        <f>Tabla13[[#This Row],[Calculated HEFT_NC]]/Tabla13[[#This Row],[Real HEFT_NC]]</f>
        <v>0.99904165681357071</v>
      </c>
      <c r="AF94" s="6">
        <f>Tabla13[[#This Row],[Calculated HEFT_DNC]]/Tabla13[[#This Row],[Real HEFT_DNC]]</f>
        <v>0.99967778871790325</v>
      </c>
      <c r="AG94" s="6">
        <f>Tabla13[[#This Row],[Calculated GA_NC]]/Tabla13[[#This Row],[Real GA_NC]]</f>
        <v>0.99903832700729001</v>
      </c>
      <c r="AH94" s="6">
        <f>Tabla13[[#This Row],[Calculated GA_DNC]]/Tabla13[[#This Row],[Real GA_DNC]]</f>
        <v>0.99967134214182529</v>
      </c>
      <c r="AI94" s="6">
        <f>Tabla13[[#This Row],[Calculated HGA_(Ph2)]]/Tabla13[[#This Row],[Real HGA_(Ph2)]]</f>
        <v>0.9996754111412739</v>
      </c>
      <c r="AJ94" s="6">
        <f>Tabla13[[#This Row],[Calculated HGA_(Ph1)]]/Tabla13[[#This Row],[Real HGA_(Ph1)]]</f>
        <v>0.999673387653639</v>
      </c>
      <c r="AK94" s="6">
        <f>Tabla13[[#This Row],[Calculated HGA^H]]/Tabla13[[#This Row],[Real GA^H]]</f>
        <v>0.99967710035286439</v>
      </c>
      <c r="AL94" s="6">
        <f>Tabla13[[#This Row],[Calculated HGA_(Ph2)^H]]/Tabla13[[#This Row],[Real HGA_(Ph2)^H]]</f>
        <v>0.99967388863989159</v>
      </c>
      <c r="AM94" s="6">
        <f>Tabla13[[#This Row],[Calculated HGA_(Ph1)^H]]/Tabla13[[#This Row],[Real HGA_(Ph1)^H]]</f>
        <v>0.99967665536066819</v>
      </c>
    </row>
    <row r="95" spans="1:39">
      <c r="A95" s="6" t="str">
        <f t="shared" si="18"/>
        <v>seismology</v>
      </c>
      <c r="B95" t="s">
        <v>19</v>
      </c>
      <c r="C95">
        <f>_xlfn.XLOOKUP(B95,Instances!$B$2:$B$29,Instances!$A$2:$A$29,,0,1)</f>
        <v>501</v>
      </c>
      <c r="D95">
        <v>8</v>
      </c>
      <c r="E95">
        <v>36.288699999999999</v>
      </c>
      <c r="F95">
        <v>36.288499999999999</v>
      </c>
      <c r="G95">
        <v>36.292050000000003</v>
      </c>
      <c r="H95">
        <v>36.292969999999997</v>
      </c>
      <c r="I95">
        <v>36.262610000000002</v>
      </c>
      <c r="J95">
        <v>36.894300000000001</v>
      </c>
      <c r="K95">
        <v>36.286639999999998</v>
      </c>
      <c r="L95">
        <v>36.252890000000001</v>
      </c>
      <c r="M95">
        <v>36.288499999999999</v>
      </c>
      <c r="N95" s="7">
        <f t="shared" si="19"/>
        <v>5.5113575300171653E-6</v>
      </c>
      <c r="O95" s="1">
        <f t="shared" si="20"/>
        <v>-9.2315238628130168E-5</v>
      </c>
      <c r="P95" s="1">
        <f t="shared" si="21"/>
        <v>-1.1766748326609164E-4</v>
      </c>
      <c r="Q95" s="1">
        <f t="shared" si="22"/>
        <v>7.1895658979231533E-4</v>
      </c>
      <c r="R95" s="1">
        <f t="shared" si="23"/>
        <v>-1.6688390600930941E-2</v>
      </c>
      <c r="S95" s="1">
        <f t="shared" si="24"/>
        <v>5.6766982559313857E-5</v>
      </c>
      <c r="T95" s="1">
        <f t="shared" si="25"/>
        <v>9.8680856575181523E-4</v>
      </c>
      <c r="U95" s="1">
        <f t="shared" si="26"/>
        <v>5.5113575300171653E-6</v>
      </c>
      <c r="V95">
        <v>36.222999999999999</v>
      </c>
      <c r="W95">
        <v>36.260800000000003</v>
      </c>
      <c r="X95">
        <v>36.227609999999999</v>
      </c>
      <c r="Y95">
        <v>36.265810000000002</v>
      </c>
      <c r="Z95">
        <v>36.235280000000003</v>
      </c>
      <c r="AA95">
        <v>36.866810000000001</v>
      </c>
      <c r="AB95">
        <v>36.259159999999987</v>
      </c>
      <c r="AC95">
        <v>36.225569999999998</v>
      </c>
      <c r="AD95">
        <v>36.260800000000003</v>
      </c>
      <c r="AE95" s="6">
        <f>Tabla13[[#This Row],[Calculated HEFT_NC]]/Tabla13[[#This Row],[Real HEFT_NC]]</f>
        <v>0.9981895190513852</v>
      </c>
      <c r="AF95" s="6">
        <f>Tabla13[[#This Row],[Calculated HEFT_DNC]]/Tabla13[[#This Row],[Real HEFT_DNC]]</f>
        <v>0.99923667277512174</v>
      </c>
      <c r="AG95" s="6">
        <f>Tabla13[[#This Row],[Calculated GA_NC]]/Tabla13[[#This Row],[Real GA_NC]]</f>
        <v>0.99822440451834482</v>
      </c>
      <c r="AH95" s="6">
        <f>Tabla13[[#This Row],[Calculated GA_DNC]]/Tabla13[[#This Row],[Real GA_DNC]]</f>
        <v>0.99925164570438862</v>
      </c>
      <c r="AI95" s="6">
        <f>Tabla13[[#This Row],[Calculated HGA_(Ph2)]]/Tabla13[[#This Row],[Real HGA_(Ph2)]]</f>
        <v>0.99924633113832684</v>
      </c>
      <c r="AJ95" s="6">
        <f>Tabla13[[#This Row],[Calculated HGA_(Ph1)]]/Tabla13[[#This Row],[Real HGA_(Ph1)]]</f>
        <v>0.99925489845314863</v>
      </c>
      <c r="AK95" s="6">
        <f>Tabla13[[#This Row],[Calculated HGA^H]]/Tabla13[[#This Row],[Real GA^H]]</f>
        <v>0.99924269648553821</v>
      </c>
      <c r="AL95" s="6">
        <f>Tabla13[[#This Row],[Calculated HGA_(Ph2)^H]]/Tabla13[[#This Row],[Real HGA_(Ph2)^H]]</f>
        <v>0.99924640490730521</v>
      </c>
      <c r="AM95" s="6">
        <f>Tabla13[[#This Row],[Calculated HGA_(Ph1)^H]]/Tabla13[[#This Row],[Real HGA_(Ph1)^H]]</f>
        <v>0.99923667277512174</v>
      </c>
    </row>
    <row r="96" spans="1:39">
      <c r="A96" s="6" t="str">
        <f t="shared" si="18"/>
        <v>seismology</v>
      </c>
      <c r="B96" t="s">
        <v>19</v>
      </c>
      <c r="C96">
        <f>_xlfn.XLOOKUP(B96,Instances!$B$2:$B$29,Instances!$A$2:$A$29,,0,1)</f>
        <v>501</v>
      </c>
      <c r="D96">
        <v>16</v>
      </c>
      <c r="E96">
        <v>18.2897</v>
      </c>
      <c r="F96">
        <v>18.2895</v>
      </c>
      <c r="G96">
        <v>18.34665</v>
      </c>
      <c r="H96">
        <v>18.341809999999999</v>
      </c>
      <c r="I96">
        <v>18.2821</v>
      </c>
      <c r="J96">
        <v>19.12567</v>
      </c>
      <c r="K96">
        <v>18.28931</v>
      </c>
      <c r="L96">
        <v>18.257069999999999</v>
      </c>
      <c r="M96">
        <v>18.2895</v>
      </c>
      <c r="N96" s="7">
        <f t="shared" si="19"/>
        <v>1.0935116486302886E-5</v>
      </c>
      <c r="O96" s="1">
        <f t="shared" si="20"/>
        <v>-3.1137744194820309E-3</v>
      </c>
      <c r="P96" s="1">
        <f t="shared" si="21"/>
        <v>-2.8491446005128019E-3</v>
      </c>
      <c r="Q96" s="1">
        <f t="shared" si="22"/>
        <v>4.1553442648048088E-4</v>
      </c>
      <c r="R96" s="1">
        <f t="shared" si="23"/>
        <v>-4.5707146645379622E-2</v>
      </c>
      <c r="S96" s="1">
        <f t="shared" si="24"/>
        <v>2.1323477148310052E-5</v>
      </c>
      <c r="T96" s="1">
        <f t="shared" si="25"/>
        <v>1.7840642547445309E-3</v>
      </c>
      <c r="U96" s="1">
        <f t="shared" si="26"/>
        <v>1.0935116486302886E-5</v>
      </c>
      <c r="V96">
        <v>18.227</v>
      </c>
      <c r="W96">
        <v>18.260200000000001</v>
      </c>
      <c r="X96">
        <v>18.284320000000001</v>
      </c>
      <c r="Y96">
        <v>18.31279</v>
      </c>
      <c r="Z96">
        <v>18.25281</v>
      </c>
      <c r="AA96">
        <v>19.096530000000001</v>
      </c>
      <c r="AB96">
        <v>18.260059999999999</v>
      </c>
      <c r="AC96">
        <v>18.227779999999999</v>
      </c>
      <c r="AD96">
        <v>18.260200000000001</v>
      </c>
      <c r="AE96" s="6">
        <f>Tabla13[[#This Row],[Calculated HEFT_NC]]/Tabla13[[#This Row],[Real HEFT_NC]]</f>
        <v>0.99657184098153606</v>
      </c>
      <c r="AF96" s="6">
        <f>Tabla13[[#This Row],[Calculated HEFT_DNC]]/Tabla13[[#This Row],[Real HEFT_DNC]]</f>
        <v>0.9983979879165642</v>
      </c>
      <c r="AG96" s="6">
        <f>Tabla13[[#This Row],[Calculated GA_NC]]/Tabla13[[#This Row],[Real GA_NC]]</f>
        <v>0.9966026495300232</v>
      </c>
      <c r="AH96" s="6">
        <f>Tabla13[[#This Row],[Calculated GA_DNC]]/Tabla13[[#This Row],[Real GA_DNC]]</f>
        <v>0.99841782245045618</v>
      </c>
      <c r="AI96" s="6">
        <f>Tabla13[[#This Row],[Calculated HGA_(Ph2)]]/Tabla13[[#This Row],[Real HGA_(Ph2)]]</f>
        <v>0.99839788645724503</v>
      </c>
      <c r="AJ96" s="6">
        <f>Tabla13[[#This Row],[Calculated HGA_(Ph1)]]/Tabla13[[#This Row],[Real HGA_(Ph1)]]</f>
        <v>0.99847639324530868</v>
      </c>
      <c r="AK96" s="6">
        <f>Tabla13[[#This Row],[Calculated HGA^H]]/Tabla13[[#This Row],[Real GA^H]]</f>
        <v>0.99840070511134638</v>
      </c>
      <c r="AL96" s="6">
        <f>Tabla13[[#This Row],[Calculated HGA_(Ph2)^H]]/Tabla13[[#This Row],[Real HGA_(Ph2)^H]]</f>
        <v>0.99839568999844996</v>
      </c>
      <c r="AM96" s="6">
        <f>Tabla13[[#This Row],[Calculated HGA_(Ph1)^H]]/Tabla13[[#This Row],[Real HGA_(Ph1)^H]]</f>
        <v>0.9983979879165642</v>
      </c>
    </row>
    <row r="97" spans="1:39">
      <c r="A97" s="6" t="str">
        <f t="shared" si="18"/>
        <v>seismology</v>
      </c>
      <c r="B97" t="s">
        <v>20</v>
      </c>
      <c r="C97">
        <f>_xlfn.XLOOKUP(B97,Instances!$B$2:$B$29,Instances!$A$2:$A$29,,0,1)</f>
        <v>701</v>
      </c>
      <c r="D97">
        <v>1</v>
      </c>
      <c r="E97">
        <v>361.779</v>
      </c>
      <c r="F97">
        <v>361.779</v>
      </c>
      <c r="G97">
        <v>361.779</v>
      </c>
      <c r="H97">
        <v>361.779</v>
      </c>
      <c r="I97">
        <v>361.779</v>
      </c>
      <c r="J97">
        <v>361.779</v>
      </c>
      <c r="K97">
        <v>361.779</v>
      </c>
      <c r="L97">
        <v>361.779</v>
      </c>
      <c r="M97">
        <v>361.779</v>
      </c>
      <c r="N97" s="7">
        <f t="shared" si="19"/>
        <v>0</v>
      </c>
      <c r="O97" s="1">
        <f t="shared" si="20"/>
        <v>0</v>
      </c>
      <c r="P97" s="1">
        <f t="shared" si="21"/>
        <v>0</v>
      </c>
      <c r="Q97" s="1">
        <f t="shared" si="22"/>
        <v>0</v>
      </c>
      <c r="R97" s="1">
        <f t="shared" si="23"/>
        <v>0</v>
      </c>
      <c r="S97" s="1">
        <f t="shared" si="24"/>
        <v>0</v>
      </c>
      <c r="T97" s="1">
        <f t="shared" si="25"/>
        <v>0</v>
      </c>
      <c r="U97" s="1">
        <f t="shared" si="26"/>
        <v>0</v>
      </c>
      <c r="V97">
        <v>361.64</v>
      </c>
      <c r="W97">
        <v>361.77699999999999</v>
      </c>
      <c r="X97">
        <v>361.64</v>
      </c>
      <c r="Y97">
        <v>361.77699999999999</v>
      </c>
      <c r="Z97">
        <v>361.77699999999999</v>
      </c>
      <c r="AA97">
        <v>361.77699999999999</v>
      </c>
      <c r="AB97">
        <v>361.77699999999999</v>
      </c>
      <c r="AC97">
        <v>361.77699999999999</v>
      </c>
      <c r="AD97">
        <v>361.77699999999999</v>
      </c>
      <c r="AE97" s="6">
        <f>Tabla13[[#This Row],[Calculated HEFT_NC]]/Tabla13[[#This Row],[Real HEFT_NC]]</f>
        <v>0.99961578753880131</v>
      </c>
      <c r="AF97" s="6">
        <f>Tabla13[[#This Row],[Calculated HEFT_DNC]]/Tabla13[[#This Row],[Real HEFT_DNC]]</f>
        <v>0.99999447176314815</v>
      </c>
      <c r="AG97" s="6">
        <f>Tabla13[[#This Row],[Calculated GA_NC]]/Tabla13[[#This Row],[Real GA_NC]]</f>
        <v>0.99961578753880131</v>
      </c>
      <c r="AH97" s="6">
        <f>Tabla13[[#This Row],[Calculated GA_DNC]]/Tabla13[[#This Row],[Real GA_DNC]]</f>
        <v>0.99999447176314815</v>
      </c>
      <c r="AI97" s="6">
        <f>Tabla13[[#This Row],[Calculated HGA_(Ph2)]]/Tabla13[[#This Row],[Real HGA_(Ph2)]]</f>
        <v>0.99999447176314815</v>
      </c>
      <c r="AJ97" s="6">
        <f>Tabla13[[#This Row],[Calculated HGA_(Ph1)]]/Tabla13[[#This Row],[Real HGA_(Ph1)]]</f>
        <v>0.99999447176314815</v>
      </c>
      <c r="AK97" s="6">
        <f>Tabla13[[#This Row],[Calculated HGA^H]]/Tabla13[[#This Row],[Real GA^H]]</f>
        <v>0.99999447176314815</v>
      </c>
      <c r="AL97" s="6">
        <f>Tabla13[[#This Row],[Calculated HGA_(Ph2)^H]]/Tabla13[[#This Row],[Real HGA_(Ph2)^H]]</f>
        <v>0.99999447176314815</v>
      </c>
      <c r="AM97" s="6">
        <f>Tabla13[[#This Row],[Calculated HGA_(Ph1)^H]]/Tabla13[[#This Row],[Real HGA_(Ph1)^H]]</f>
        <v>0.99999447176314815</v>
      </c>
    </row>
    <row r="98" spans="1:39">
      <c r="A98" s="6" t="str">
        <f t="shared" ref="A98:A129" si="27">LEFT(B98,FIND("-",B98)-1)</f>
        <v>seismology</v>
      </c>
      <c r="B98" t="s">
        <v>20</v>
      </c>
      <c r="C98">
        <f>_xlfn.XLOOKUP(B98,Instances!$B$2:$B$29,Instances!$A$2:$A$29,,0,1)</f>
        <v>701</v>
      </c>
      <c r="D98">
        <v>2</v>
      </c>
      <c r="E98">
        <v>181.066</v>
      </c>
      <c r="F98">
        <v>181.066</v>
      </c>
      <c r="G98">
        <v>181.0658</v>
      </c>
      <c r="H98">
        <v>181.0651</v>
      </c>
      <c r="I98">
        <v>181.06489999999999</v>
      </c>
      <c r="J98">
        <v>181.065</v>
      </c>
      <c r="K98">
        <v>181.0652</v>
      </c>
      <c r="L98">
        <v>181.0651</v>
      </c>
      <c r="M98">
        <v>181.065</v>
      </c>
      <c r="N98" s="7">
        <f t="shared" ref="N98:N129" si="28">(($E98-F98)/$E98)</f>
        <v>0</v>
      </c>
      <c r="O98" s="1">
        <f t="shared" ref="O98:O129" si="29">(($E98-G98)/$E98)</f>
        <v>1.1045696044902926E-6</v>
      </c>
      <c r="P98" s="1">
        <f t="shared" ref="P98:P129" si="30">(($E98-H98)/$E98)</f>
        <v>4.9705632200493476E-6</v>
      </c>
      <c r="Q98" s="1">
        <f t="shared" ref="Q98:Q129" si="31">(($E98-I98)/$E98)</f>
        <v>6.0751328245396406E-6</v>
      </c>
      <c r="R98" s="1">
        <f t="shared" ref="R98:R129" si="32">(($E98-J98)/$E98)</f>
        <v>5.5228480222944937E-6</v>
      </c>
      <c r="S98" s="1">
        <f t="shared" ref="S98:S129" si="33">(($E98-K98)/$E98)</f>
        <v>4.4182784178042015E-6</v>
      </c>
      <c r="T98" s="1">
        <f t="shared" ref="T98:T129" si="34">(($E98-L98)/$E98)</f>
        <v>4.9705632200493476E-6</v>
      </c>
      <c r="U98" s="1">
        <f t="shared" ref="U98:U129" si="35">(($E98-M98)/$E98)</f>
        <v>5.5228480222944937E-6</v>
      </c>
      <c r="V98">
        <v>180.95400000000001</v>
      </c>
      <c r="W98">
        <v>181.04300000000001</v>
      </c>
      <c r="X98">
        <v>180.953</v>
      </c>
      <c r="Y98">
        <v>181.042</v>
      </c>
      <c r="Z98">
        <v>181.042</v>
      </c>
      <c r="AA98">
        <v>181.042</v>
      </c>
      <c r="AB98">
        <v>181.042</v>
      </c>
      <c r="AC98">
        <v>181.042</v>
      </c>
      <c r="AD98">
        <v>181.042</v>
      </c>
      <c r="AE98" s="6">
        <f>Tabla13[[#This Row],[Calculated HEFT_NC]]/Tabla13[[#This Row],[Real HEFT_NC]]</f>
        <v>0.99938144102150595</v>
      </c>
      <c r="AF98" s="6">
        <f>Tabla13[[#This Row],[Calculated HEFT_DNC]]/Tabla13[[#This Row],[Real HEFT_DNC]]</f>
        <v>0.99987297449548784</v>
      </c>
      <c r="AG98" s="6">
        <f>Tabla13[[#This Row],[Calculated GA_NC]]/Tabla13[[#This Row],[Real GA_NC]]</f>
        <v>0.9993770220549657</v>
      </c>
      <c r="AH98" s="6">
        <f>Tabla13[[#This Row],[Calculated GA_DNC]]/Tabla13[[#This Row],[Real GA_DNC]]</f>
        <v>0.99987242157654899</v>
      </c>
      <c r="AI98" s="6">
        <f>Tabla13[[#This Row],[Calculated HGA_(Ph2)]]/Tabla13[[#This Row],[Real HGA_(Ph2)]]</f>
        <v>0.99987352601194379</v>
      </c>
      <c r="AJ98" s="6">
        <f>Tabla13[[#This Row],[Calculated HGA_(Ph1)]]/Tabla13[[#This Row],[Real HGA_(Ph1)]]</f>
        <v>0.99987297379394147</v>
      </c>
      <c r="AK98" s="6">
        <f>Tabla13[[#This Row],[Calculated HGA^H]]/Tabla13[[#This Row],[Real GA^H]]</f>
        <v>0.99987186935976657</v>
      </c>
      <c r="AL98" s="6">
        <f>Tabla13[[#This Row],[Calculated HGA_(Ph2)^H]]/Tabla13[[#This Row],[Real HGA_(Ph2)^H]]</f>
        <v>0.99987242157654899</v>
      </c>
      <c r="AM98" s="6">
        <f>Tabla13[[#This Row],[Calculated HGA_(Ph1)^H]]/Tabla13[[#This Row],[Real HGA_(Ph1)^H]]</f>
        <v>0.99987297379394147</v>
      </c>
    </row>
    <row r="99" spans="1:39">
      <c r="A99" s="6" t="str">
        <f t="shared" si="27"/>
        <v>seismology</v>
      </c>
      <c r="B99" t="s">
        <v>20</v>
      </c>
      <c r="C99">
        <f>_xlfn.XLOOKUP(B99,Instances!$B$2:$B$29,Instances!$A$2:$A$29,,0,1)</f>
        <v>701</v>
      </c>
      <c r="D99">
        <v>4</v>
      </c>
      <c r="E99">
        <v>90.724500000000006</v>
      </c>
      <c r="F99">
        <v>90.724500000000006</v>
      </c>
      <c r="G99">
        <v>90.728520000000003</v>
      </c>
      <c r="H99">
        <v>90.721000000000004</v>
      </c>
      <c r="I99">
        <v>90.70805</v>
      </c>
      <c r="J99">
        <v>90.763460000000009</v>
      </c>
      <c r="K99">
        <v>90.7166</v>
      </c>
      <c r="L99">
        <v>90.707819999999998</v>
      </c>
      <c r="M99">
        <v>90.723980000000012</v>
      </c>
      <c r="N99" s="7">
        <f t="shared" si="28"/>
        <v>0</v>
      </c>
      <c r="O99" s="1">
        <f t="shared" si="29"/>
        <v>-4.4309971396888666E-5</v>
      </c>
      <c r="P99" s="1">
        <f t="shared" si="30"/>
        <v>3.8578333305804949E-5</v>
      </c>
      <c r="Q99" s="1">
        <f t="shared" si="31"/>
        <v>1.8131816653722059E-4</v>
      </c>
      <c r="R99" s="1">
        <f t="shared" si="32"/>
        <v>-4.2943196159805772E-4</v>
      </c>
      <c r="S99" s="1">
        <f t="shared" si="33"/>
        <v>8.7076809461682976E-5</v>
      </c>
      <c r="T99" s="1">
        <f t="shared" si="34"/>
        <v>1.838533141544789E-4</v>
      </c>
      <c r="U99" s="1">
        <f t="shared" si="35"/>
        <v>5.7316380910837187E-6</v>
      </c>
      <c r="V99">
        <v>90.625</v>
      </c>
      <c r="W99">
        <v>90.691100000000006</v>
      </c>
      <c r="X99">
        <v>90.629199999999997</v>
      </c>
      <c r="Y99">
        <v>90.687659999999994</v>
      </c>
      <c r="Z99">
        <v>90.674390000000002</v>
      </c>
      <c r="AA99">
        <v>90.72999999999999</v>
      </c>
      <c r="AB99">
        <v>90.68310000000001</v>
      </c>
      <c r="AC99">
        <v>90.674300000000002</v>
      </c>
      <c r="AD99">
        <v>90.690600000000003</v>
      </c>
      <c r="AE99" s="6">
        <f>Tabla13[[#This Row],[Calculated HEFT_NC]]/Tabla13[[#This Row],[Real HEFT_NC]]</f>
        <v>0.99890327309602145</v>
      </c>
      <c r="AF99" s="6">
        <f>Tabla13[[#This Row],[Calculated HEFT_DNC]]/Tabla13[[#This Row],[Real HEFT_DNC]]</f>
        <v>0.99963185247645348</v>
      </c>
      <c r="AG99" s="6">
        <f>Tabla13[[#This Row],[Calculated GA_NC]]/Tabla13[[#This Row],[Real GA_NC]]</f>
        <v>0.99890530563046764</v>
      </c>
      <c r="AH99" s="6">
        <f>Tabla13[[#This Row],[Calculated GA_DNC]]/Tabla13[[#This Row],[Real GA_DNC]]</f>
        <v>0.99963249964175871</v>
      </c>
      <c r="AI99" s="6">
        <f>Tabla13[[#This Row],[Calculated HGA_(Ph2)]]/Tabla13[[#This Row],[Real HGA_(Ph2)]]</f>
        <v>0.99962891937374909</v>
      </c>
      <c r="AJ99" s="6">
        <f>Tabla13[[#This Row],[Calculated HGA_(Ph1)]]/Tabla13[[#This Row],[Real HGA_(Ph1)]]</f>
        <v>0.99963134944392795</v>
      </c>
      <c r="AK99" s="6">
        <f>Tabla13[[#This Row],[Calculated HGA^H]]/Tabla13[[#This Row],[Real GA^H]]</f>
        <v>0.99963071808246795</v>
      </c>
      <c r="AL99" s="6">
        <f>Tabla13[[#This Row],[Calculated HGA_(Ph2)^H]]/Tabla13[[#This Row],[Real HGA_(Ph2)^H]]</f>
        <v>0.99963046184992654</v>
      </c>
      <c r="AM99" s="6">
        <f>Tabla13[[#This Row],[Calculated HGA_(Ph1)^H]]/Tabla13[[#This Row],[Real HGA_(Ph1)^H]]</f>
        <v>0.99963207081523531</v>
      </c>
    </row>
    <row r="100" spans="1:39">
      <c r="A100" s="6" t="str">
        <f t="shared" si="27"/>
        <v>seismology</v>
      </c>
      <c r="B100" t="s">
        <v>20</v>
      </c>
      <c r="C100">
        <f>_xlfn.XLOOKUP(B100,Instances!$B$2:$B$29,Instances!$A$2:$A$29,,0,1)</f>
        <v>701</v>
      </c>
      <c r="D100">
        <v>8</v>
      </c>
      <c r="E100">
        <v>45.569000000000003</v>
      </c>
      <c r="F100">
        <v>45.568800000000003</v>
      </c>
      <c r="G100">
        <v>45.57479</v>
      </c>
      <c r="H100">
        <v>45.570140000000002</v>
      </c>
      <c r="I100">
        <v>45.540860000000002</v>
      </c>
      <c r="J100">
        <v>46.017330000000001</v>
      </c>
      <c r="K100">
        <v>45.564079999999997</v>
      </c>
      <c r="L100">
        <v>45.529460000000007</v>
      </c>
      <c r="M100">
        <v>45.568800000000003</v>
      </c>
      <c r="N100" s="7">
        <f t="shared" si="28"/>
        <v>4.3889486273460874E-6</v>
      </c>
      <c r="O100" s="1">
        <f t="shared" si="29"/>
        <v>-1.2706006276191092E-4</v>
      </c>
      <c r="P100" s="1">
        <f t="shared" si="30"/>
        <v>-2.5017007175919477E-5</v>
      </c>
      <c r="Q100" s="1">
        <f t="shared" si="31"/>
        <v>6.1752507186904463E-4</v>
      </c>
      <c r="R100" s="1">
        <f t="shared" si="32"/>
        <v>-9.8384866905132547E-3</v>
      </c>
      <c r="S100" s="1">
        <f t="shared" si="33"/>
        <v>1.0796813623308798E-4</v>
      </c>
      <c r="T100" s="1">
        <f t="shared" si="34"/>
        <v>8.6769514362823943E-4</v>
      </c>
      <c r="U100" s="1">
        <f t="shared" si="35"/>
        <v>4.3889486273460874E-6</v>
      </c>
      <c r="V100">
        <v>45.47699999999999</v>
      </c>
      <c r="W100">
        <v>45.530299999999997</v>
      </c>
      <c r="X100">
        <v>45.482399999999998</v>
      </c>
      <c r="Y100">
        <v>45.531449999999992</v>
      </c>
      <c r="Z100">
        <v>45.502040000000001</v>
      </c>
      <c r="AA100">
        <v>45.978560000000002</v>
      </c>
      <c r="AB100">
        <v>45.525489999999998</v>
      </c>
      <c r="AC100">
        <v>45.490639999999999</v>
      </c>
      <c r="AD100">
        <v>45.530299999999997</v>
      </c>
      <c r="AE100" s="6">
        <f>Tabla13[[#This Row],[Calculated HEFT_NC]]/Tabla13[[#This Row],[Real HEFT_NC]]</f>
        <v>0.9979810836314158</v>
      </c>
      <c r="AF100" s="6">
        <f>Tabla13[[#This Row],[Calculated HEFT_DNC]]/Tabla13[[#This Row],[Real HEFT_DNC]]</f>
        <v>0.99915512368111503</v>
      </c>
      <c r="AG100" s="6">
        <f>Tabla13[[#This Row],[Calculated GA_NC]]/Tabla13[[#This Row],[Real GA_NC]]</f>
        <v>0.9979727827599425</v>
      </c>
      <c r="AH100" s="6">
        <f>Tabla13[[#This Row],[Calculated GA_DNC]]/Tabla13[[#This Row],[Real GA_DNC]]</f>
        <v>0.99915097912799899</v>
      </c>
      <c r="AI100" s="6">
        <f>Tabla13[[#This Row],[Calculated HGA_(Ph2)]]/Tabla13[[#This Row],[Real HGA_(Ph2)]]</f>
        <v>0.99914757867989312</v>
      </c>
      <c r="AJ100" s="6">
        <f>Tabla13[[#This Row],[Calculated HGA_(Ph1)]]/Tabla13[[#This Row],[Real HGA_(Ph1)]]</f>
        <v>0.99915749131903131</v>
      </c>
      <c r="AK100" s="6">
        <f>Tabla13[[#This Row],[Calculated HGA^H]]/Tabla13[[#This Row],[Real GA^H]]</f>
        <v>0.99915306091991762</v>
      </c>
      <c r="AL100" s="6">
        <f>Tabla13[[#This Row],[Calculated HGA_(Ph2)^H]]/Tabla13[[#This Row],[Real HGA_(Ph2)^H]]</f>
        <v>0.99914736524439318</v>
      </c>
      <c r="AM100" s="6">
        <f>Tabla13[[#This Row],[Calculated HGA_(Ph1)^H]]/Tabla13[[#This Row],[Real HGA_(Ph1)^H]]</f>
        <v>0.99915512368111503</v>
      </c>
    </row>
    <row r="101" spans="1:39">
      <c r="A101" s="6" t="str">
        <f t="shared" si="27"/>
        <v>seismology</v>
      </c>
      <c r="B101" t="s">
        <v>20</v>
      </c>
      <c r="C101">
        <f>_xlfn.XLOOKUP(B101,Instances!$B$2:$B$29,Instances!$A$2:$A$29,,0,1)</f>
        <v>701</v>
      </c>
      <c r="D101">
        <v>16</v>
      </c>
      <c r="E101">
        <v>22.953399999999991</v>
      </c>
      <c r="F101">
        <v>22.953199999999999</v>
      </c>
      <c r="G101">
        <v>23.021909999999998</v>
      </c>
      <c r="H101">
        <v>23.02704</v>
      </c>
      <c r="I101">
        <v>22.968430000000001</v>
      </c>
      <c r="J101">
        <v>23.584140000000001</v>
      </c>
      <c r="K101">
        <v>22.953220000000002</v>
      </c>
      <c r="L101">
        <v>22.94059</v>
      </c>
      <c r="M101">
        <v>22.953199999999999</v>
      </c>
      <c r="N101" s="7">
        <f t="shared" si="28"/>
        <v>8.7133060893997636E-6</v>
      </c>
      <c r="O101" s="1">
        <f t="shared" si="29"/>
        <v>-2.9847430010371875E-3</v>
      </c>
      <c r="P101" s="1">
        <f t="shared" si="30"/>
        <v>-3.2082393022388042E-3</v>
      </c>
      <c r="Q101" s="1">
        <f t="shared" si="31"/>
        <v>-6.5480495264362126E-4</v>
      </c>
      <c r="R101" s="1">
        <f t="shared" si="32"/>
        <v>-2.7479153415180771E-2</v>
      </c>
      <c r="S101" s="1">
        <f t="shared" si="33"/>
        <v>7.8419754803050086E-6</v>
      </c>
      <c r="T101" s="1">
        <f t="shared" si="34"/>
        <v>5.5808725504679529E-4</v>
      </c>
      <c r="U101" s="1">
        <f t="shared" si="35"/>
        <v>8.7133060893997636E-6</v>
      </c>
      <c r="V101">
        <v>22.864000000000001</v>
      </c>
      <c r="W101">
        <v>22.9117</v>
      </c>
      <c r="X101">
        <v>22.933229999999998</v>
      </c>
      <c r="Y101">
        <v>22.98573</v>
      </c>
      <c r="Z101">
        <v>22.927040000000002</v>
      </c>
      <c r="AA101">
        <v>23.542829999999999</v>
      </c>
      <c r="AB101">
        <v>22.9117</v>
      </c>
      <c r="AC101">
        <v>22.89903</v>
      </c>
      <c r="AD101">
        <v>22.9117</v>
      </c>
      <c r="AE101" s="6">
        <f>Tabla13[[#This Row],[Calculated HEFT_NC]]/Tabla13[[#This Row],[Real HEFT_NC]]</f>
        <v>0.99610515217789131</v>
      </c>
      <c r="AF101" s="6">
        <f>Tabla13[[#This Row],[Calculated HEFT_DNC]]/Tabla13[[#This Row],[Real HEFT_DNC]]</f>
        <v>0.99819197323249054</v>
      </c>
      <c r="AG101" s="6">
        <f>Tabla13[[#This Row],[Calculated GA_NC]]/Tabla13[[#This Row],[Real GA_NC]]</f>
        <v>0.99614801725834212</v>
      </c>
      <c r="AH101" s="6">
        <f>Tabla13[[#This Row],[Calculated GA_DNC]]/Tabla13[[#This Row],[Real GA_DNC]]</f>
        <v>0.99820602213745235</v>
      </c>
      <c r="AI101" s="6">
        <f>Tabla13[[#This Row],[Calculated HGA_(Ph2)]]/Tabla13[[#This Row],[Real HGA_(Ph2)]]</f>
        <v>0.9981979612886035</v>
      </c>
      <c r="AJ101" s="6">
        <f>Tabla13[[#This Row],[Calculated HGA_(Ph1)]]/Tabla13[[#This Row],[Real HGA_(Ph1)]]</f>
        <v>0.99824839913602947</v>
      </c>
      <c r="AK101" s="6">
        <f>Tabla13[[#This Row],[Calculated HGA^H]]/Tabla13[[#This Row],[Real GA^H]]</f>
        <v>0.99819110347044981</v>
      </c>
      <c r="AL101" s="6">
        <f>Tabla13[[#This Row],[Calculated HGA_(Ph2)^H]]/Tabla13[[#This Row],[Real HGA_(Ph2)^H]]</f>
        <v>0.99818836394356025</v>
      </c>
      <c r="AM101" s="6">
        <f>Tabla13[[#This Row],[Calculated HGA_(Ph1)^H]]/Tabla13[[#This Row],[Real HGA_(Ph1)^H]]</f>
        <v>0.99819197323249054</v>
      </c>
    </row>
    <row r="102" spans="1:39">
      <c r="A102" s="6" t="str">
        <f t="shared" si="27"/>
        <v>soykb</v>
      </c>
      <c r="B102" t="s">
        <v>22</v>
      </c>
      <c r="C102">
        <f>_xlfn.XLOOKUP(B102,Instances!$B$2:$B$29,Instances!$A$2:$A$29,,0,1)</f>
        <v>96</v>
      </c>
      <c r="D102">
        <v>1</v>
      </c>
      <c r="E102">
        <v>13810.3</v>
      </c>
      <c r="F102">
        <v>13810.3</v>
      </c>
      <c r="G102">
        <v>13810.3</v>
      </c>
      <c r="H102">
        <v>13810.3</v>
      </c>
      <c r="I102">
        <v>13810.3</v>
      </c>
      <c r="J102">
        <v>13810.3</v>
      </c>
      <c r="K102">
        <v>13810.3</v>
      </c>
      <c r="L102">
        <v>13810.3</v>
      </c>
      <c r="M102">
        <v>13810.3</v>
      </c>
      <c r="N102" s="7">
        <f t="shared" si="28"/>
        <v>0</v>
      </c>
      <c r="O102" s="1">
        <f t="shared" si="29"/>
        <v>0</v>
      </c>
      <c r="P102" s="1">
        <f t="shared" si="30"/>
        <v>0</v>
      </c>
      <c r="Q102" s="1">
        <f t="shared" si="31"/>
        <v>0</v>
      </c>
      <c r="R102" s="1">
        <f t="shared" si="32"/>
        <v>0</v>
      </c>
      <c r="S102" s="1">
        <f t="shared" si="33"/>
        <v>0</v>
      </c>
      <c r="T102" s="1">
        <f t="shared" si="34"/>
        <v>0</v>
      </c>
      <c r="U102" s="1">
        <f t="shared" si="35"/>
        <v>0</v>
      </c>
      <c r="V102">
        <v>11814.5</v>
      </c>
      <c r="W102">
        <v>13810.1</v>
      </c>
      <c r="X102">
        <v>11814.5</v>
      </c>
      <c r="Y102">
        <v>13810.1</v>
      </c>
      <c r="Z102">
        <v>13810.1</v>
      </c>
      <c r="AA102">
        <v>13810.1</v>
      </c>
      <c r="AB102">
        <v>13810.1</v>
      </c>
      <c r="AC102">
        <v>13810.1</v>
      </c>
      <c r="AD102">
        <v>13810.1</v>
      </c>
      <c r="AE102" s="6">
        <f>Tabla13[[#This Row],[Calculated HEFT_NC]]/Tabla13[[#This Row],[Real HEFT_NC]]</f>
        <v>0.85548467448208954</v>
      </c>
      <c r="AF102" s="6">
        <f>Tabla13[[#This Row],[Calculated HEFT_DNC]]/Tabla13[[#This Row],[Real HEFT_DNC]]</f>
        <v>0.99998551805536451</v>
      </c>
      <c r="AG102" s="6">
        <f>Tabla13[[#This Row],[Calculated GA_NC]]/Tabla13[[#This Row],[Real GA_NC]]</f>
        <v>0.85548467448208954</v>
      </c>
      <c r="AH102" s="6">
        <f>Tabla13[[#This Row],[Calculated GA_DNC]]/Tabla13[[#This Row],[Real GA_DNC]]</f>
        <v>0.99998551805536451</v>
      </c>
      <c r="AI102" s="6">
        <f>Tabla13[[#This Row],[Calculated HGA_(Ph2)]]/Tabla13[[#This Row],[Real HGA_(Ph2)]]</f>
        <v>0.99998551805536451</v>
      </c>
      <c r="AJ102" s="6">
        <f>Tabla13[[#This Row],[Calculated HGA_(Ph1)]]/Tabla13[[#This Row],[Real HGA_(Ph1)]]</f>
        <v>0.99998551805536451</v>
      </c>
      <c r="AK102" s="6">
        <f>Tabla13[[#This Row],[Calculated HGA^H]]/Tabla13[[#This Row],[Real GA^H]]</f>
        <v>0.99998551805536451</v>
      </c>
      <c r="AL102" s="6">
        <f>Tabla13[[#This Row],[Calculated HGA_(Ph2)^H]]/Tabla13[[#This Row],[Real HGA_(Ph2)^H]]</f>
        <v>0.99998551805536451</v>
      </c>
      <c r="AM102" s="6">
        <f>Tabla13[[#This Row],[Calculated HGA_(Ph1)^H]]/Tabla13[[#This Row],[Real HGA_(Ph1)^H]]</f>
        <v>0.99998551805536451</v>
      </c>
    </row>
    <row r="103" spans="1:39">
      <c r="A103" s="6" t="str">
        <f t="shared" si="27"/>
        <v>soykb</v>
      </c>
      <c r="B103" t="s">
        <v>22</v>
      </c>
      <c r="C103">
        <f>_xlfn.XLOOKUP(B103,Instances!$B$2:$B$29,Instances!$A$2:$A$29,,0,1)</f>
        <v>96</v>
      </c>
      <c r="D103">
        <v>2</v>
      </c>
      <c r="E103">
        <v>7244.19</v>
      </c>
      <c r="F103">
        <v>7176.26</v>
      </c>
      <c r="G103">
        <v>7182.759</v>
      </c>
      <c r="H103">
        <v>7135.9929999999986</v>
      </c>
      <c r="I103">
        <v>7135.9829999999984</v>
      </c>
      <c r="J103">
        <v>7204.6809999999996</v>
      </c>
      <c r="K103">
        <v>7135.9949999999999</v>
      </c>
      <c r="L103">
        <v>7135.9889999999996</v>
      </c>
      <c r="M103">
        <v>7166.6929999999993</v>
      </c>
      <c r="N103" s="7">
        <f t="shared" si="28"/>
        <v>9.377169842314929E-3</v>
      </c>
      <c r="O103" s="1">
        <f t="shared" si="29"/>
        <v>8.4800371055976705E-3</v>
      </c>
      <c r="P103" s="1">
        <f t="shared" si="30"/>
        <v>1.4935693293522262E-2</v>
      </c>
      <c r="Q103" s="1">
        <f t="shared" si="31"/>
        <v>1.4937073710104408E-2</v>
      </c>
      <c r="R103" s="1">
        <f t="shared" si="32"/>
        <v>5.4538878742827037E-3</v>
      </c>
      <c r="S103" s="1">
        <f t="shared" si="33"/>
        <v>1.4935417210205656E-2</v>
      </c>
      <c r="T103" s="1">
        <f t="shared" si="34"/>
        <v>1.4936245460154969E-2</v>
      </c>
      <c r="U103" s="1">
        <f t="shared" si="35"/>
        <v>1.0697814386425577E-2</v>
      </c>
      <c r="V103">
        <v>6357.76</v>
      </c>
      <c r="W103">
        <v>7176.1</v>
      </c>
      <c r="X103">
        <v>6309.2910000000002</v>
      </c>
      <c r="Y103">
        <v>7135.83</v>
      </c>
      <c r="Z103">
        <v>7135.82</v>
      </c>
      <c r="AA103">
        <v>7204.5240000000003</v>
      </c>
      <c r="AB103">
        <v>7135.8349999999991</v>
      </c>
      <c r="AC103">
        <v>7135.82</v>
      </c>
      <c r="AD103">
        <v>7166.5259999999998</v>
      </c>
      <c r="AE103" s="6">
        <f>Tabla13[[#This Row],[Calculated HEFT_NC]]/Tabla13[[#This Row],[Real HEFT_NC]]</f>
        <v>0.87763573291147812</v>
      </c>
      <c r="AF103" s="6">
        <f>Tabla13[[#This Row],[Calculated HEFT_DNC]]/Tabla13[[#This Row],[Real HEFT_DNC]]</f>
        <v>0.99997770426378085</v>
      </c>
      <c r="AG103" s="6">
        <f>Tabla13[[#This Row],[Calculated GA_NC]]/Tabla13[[#This Row],[Real GA_NC]]</f>
        <v>0.87839380382941989</v>
      </c>
      <c r="AH103" s="6">
        <f>Tabla13[[#This Row],[Calculated GA_DNC]]/Tabla13[[#This Row],[Real GA_DNC]]</f>
        <v>0.9999771580493424</v>
      </c>
      <c r="AI103" s="6">
        <f>Tabla13[[#This Row],[Calculated HGA_(Ph2)]]/Tabla13[[#This Row],[Real HGA_(Ph2)]]</f>
        <v>0.99997715801733289</v>
      </c>
      <c r="AJ103" s="6">
        <f>Tabla13[[#This Row],[Calculated HGA_(Ph1)]]/Tabla13[[#This Row],[Real HGA_(Ph1)]]</f>
        <v>0.99997820861187336</v>
      </c>
      <c r="AK103" s="6">
        <f>Tabla13[[#This Row],[Calculated HGA^H]]/Tabla13[[#This Row],[Real GA^H]]</f>
        <v>0.99997757845962609</v>
      </c>
      <c r="AL103" s="6">
        <f>Tabla13[[#This Row],[Calculated HGA_(Ph2)^H]]/Tabla13[[#This Row],[Real HGA_(Ph2)^H]]</f>
        <v>0.99997631722806746</v>
      </c>
      <c r="AM103" s="6">
        <f>Tabla13[[#This Row],[Calculated HGA_(Ph1)^H]]/Tabla13[[#This Row],[Real HGA_(Ph1)^H]]</f>
        <v>0.99997669776004083</v>
      </c>
    </row>
    <row r="104" spans="1:39">
      <c r="A104" s="6" t="str">
        <f t="shared" si="27"/>
        <v>soykb</v>
      </c>
      <c r="B104" t="s">
        <v>22</v>
      </c>
      <c r="C104">
        <f>_xlfn.XLOOKUP(B104,Instances!$B$2:$B$29,Instances!$A$2:$A$29,,0,1)</f>
        <v>96</v>
      </c>
      <c r="D104">
        <v>4</v>
      </c>
      <c r="E104">
        <v>4983.99</v>
      </c>
      <c r="F104">
        <v>4897.8000000000011</v>
      </c>
      <c r="G104">
        <v>4935.9620000000004</v>
      </c>
      <c r="H104">
        <v>4883.5379999999996</v>
      </c>
      <c r="I104">
        <v>4862.1119999999992</v>
      </c>
      <c r="J104">
        <v>4987.4879999999994</v>
      </c>
      <c r="K104">
        <v>4880.308</v>
      </c>
      <c r="L104">
        <v>4861.5169999999998</v>
      </c>
      <c r="M104">
        <v>4897.8000000000011</v>
      </c>
      <c r="N104" s="7">
        <f t="shared" si="28"/>
        <v>1.7293373381567518E-2</v>
      </c>
      <c r="O104" s="1">
        <f t="shared" si="29"/>
        <v>9.6364559318937917E-3</v>
      </c>
      <c r="P104" s="1">
        <f t="shared" si="30"/>
        <v>2.0154936105409568E-2</v>
      </c>
      <c r="Q104" s="1">
        <f t="shared" si="31"/>
        <v>2.4453901392258132E-2</v>
      </c>
      <c r="R104" s="1">
        <f t="shared" si="32"/>
        <v>-7.0184731510287794E-4</v>
      </c>
      <c r="S104" s="1">
        <f t="shared" si="33"/>
        <v>2.0803011241996832E-2</v>
      </c>
      <c r="T104" s="1">
        <f t="shared" si="34"/>
        <v>2.4573283654260935E-2</v>
      </c>
      <c r="U104" s="1">
        <f t="shared" si="35"/>
        <v>1.7293373381567518E-2</v>
      </c>
      <c r="V104">
        <v>4467.33</v>
      </c>
      <c r="W104">
        <v>4897.68</v>
      </c>
      <c r="X104">
        <v>4459.8339999999998</v>
      </c>
      <c r="Y104">
        <v>4883.4129999999996</v>
      </c>
      <c r="Z104">
        <v>4861.9889999999996</v>
      </c>
      <c r="AA104">
        <v>4987.3660000000009</v>
      </c>
      <c r="AB104">
        <v>4880.1839999999993</v>
      </c>
      <c r="AC104">
        <v>4861.3849999999993</v>
      </c>
      <c r="AD104">
        <v>4897.68</v>
      </c>
      <c r="AE104" s="6">
        <f>Tabla13[[#This Row],[Calculated HEFT_NC]]/Tabla13[[#This Row],[Real HEFT_NC]]</f>
        <v>0.89633606809002431</v>
      </c>
      <c r="AF104" s="6">
        <f>Tabla13[[#This Row],[Calculated HEFT_DNC]]/Tabla13[[#This Row],[Real HEFT_DNC]]</f>
        <v>0.99997549920372397</v>
      </c>
      <c r="AG104" s="6">
        <f>Tabla13[[#This Row],[Calculated GA_NC]]/Tabla13[[#This Row],[Real GA_NC]]</f>
        <v>0.90353896565654257</v>
      </c>
      <c r="AH104" s="6">
        <f>Tabla13[[#This Row],[Calculated GA_DNC]]/Tabla13[[#This Row],[Real GA_DNC]]</f>
        <v>0.9999744038031444</v>
      </c>
      <c r="AI104" s="6">
        <f>Tabla13[[#This Row],[Calculated HGA_(Ph2)]]/Tabla13[[#This Row],[Real HGA_(Ph2)]]</f>
        <v>0.99997470235157071</v>
      </c>
      <c r="AJ104" s="6">
        <f>Tabla13[[#This Row],[Calculated HGA_(Ph1)]]/Tabla13[[#This Row],[Real HGA_(Ph1)]]</f>
        <v>0.99997553878826406</v>
      </c>
      <c r="AK104" s="6">
        <f>Tabla13[[#This Row],[Calculated HGA^H]]/Tabla13[[#This Row],[Real GA^H]]</f>
        <v>0.99997459176756864</v>
      </c>
      <c r="AL104" s="6">
        <f>Tabla13[[#This Row],[Calculated HGA_(Ph2)^H]]/Tabla13[[#This Row],[Real HGA_(Ph2)^H]]</f>
        <v>0.99997284798140162</v>
      </c>
      <c r="AM104" s="6">
        <f>Tabla13[[#This Row],[Calculated HGA_(Ph1)^H]]/Tabla13[[#This Row],[Real HGA_(Ph1)^H]]</f>
        <v>0.99997549920372397</v>
      </c>
    </row>
    <row r="105" spans="1:39">
      <c r="A105" s="6" t="str">
        <f t="shared" si="27"/>
        <v>soykb</v>
      </c>
      <c r="B105" t="s">
        <v>22</v>
      </c>
      <c r="C105">
        <f>_xlfn.XLOOKUP(B105,Instances!$B$2:$B$29,Instances!$A$2:$A$29,,0,1)</f>
        <v>96</v>
      </c>
      <c r="D105">
        <v>8</v>
      </c>
      <c r="E105">
        <v>3884.1799999999989</v>
      </c>
      <c r="F105">
        <v>3884.33</v>
      </c>
      <c r="G105">
        <v>3860.3270000000002</v>
      </c>
      <c r="H105">
        <v>3841.1570000000002</v>
      </c>
      <c r="I105">
        <v>3800.4899999999989</v>
      </c>
      <c r="J105">
        <v>3923.822999999999</v>
      </c>
      <c r="K105">
        <v>3848.0920000000001</v>
      </c>
      <c r="L105">
        <v>3799.9879999999998</v>
      </c>
      <c r="M105">
        <v>3884.33</v>
      </c>
      <c r="N105" s="7">
        <f t="shared" si="28"/>
        <v>-3.8618189682507116E-5</v>
      </c>
      <c r="O105" s="1">
        <f t="shared" si="29"/>
        <v>6.1410645232709881E-3</v>
      </c>
      <c r="P105" s="1">
        <f t="shared" si="30"/>
        <v>1.1076469164662499E-2</v>
      </c>
      <c r="Q105" s="1">
        <f t="shared" si="31"/>
        <v>2.1546375296716443E-2</v>
      </c>
      <c r="R105" s="1">
        <f t="shared" si="32"/>
        <v>-1.02062726238228E-2</v>
      </c>
      <c r="S105" s="1">
        <f t="shared" si="33"/>
        <v>9.2910215283531754E-3</v>
      </c>
      <c r="T105" s="1">
        <f t="shared" si="34"/>
        <v>2.1675617504852793E-2</v>
      </c>
      <c r="U105" s="1">
        <f t="shared" si="35"/>
        <v>-3.8618189682507116E-5</v>
      </c>
      <c r="V105">
        <v>3612.15</v>
      </c>
      <c r="W105">
        <v>3884.22</v>
      </c>
      <c r="X105">
        <v>3583.07</v>
      </c>
      <c r="Y105">
        <v>3841.0530000000008</v>
      </c>
      <c r="Z105">
        <v>3800.3829999999998</v>
      </c>
      <c r="AA105">
        <v>3923.7220000000002</v>
      </c>
      <c r="AB105">
        <v>3847.9969999999998</v>
      </c>
      <c r="AC105">
        <v>3799.8780000000002</v>
      </c>
      <c r="AD105">
        <v>3884.22</v>
      </c>
      <c r="AE105" s="6">
        <f>Tabla13[[#This Row],[Calculated HEFT_NC]]/Tabla13[[#This Row],[Real HEFT_NC]]</f>
        <v>0.92996462573825134</v>
      </c>
      <c r="AF105" s="6">
        <f>Tabla13[[#This Row],[Calculated HEFT_DNC]]/Tabla13[[#This Row],[Real HEFT_DNC]]</f>
        <v>0.99997168108785806</v>
      </c>
      <c r="AG105" s="6">
        <f>Tabla13[[#This Row],[Calculated GA_NC]]/Tabla13[[#This Row],[Real GA_NC]]</f>
        <v>0.92817784607366161</v>
      </c>
      <c r="AH105" s="6">
        <f>Tabla13[[#This Row],[Calculated GA_DNC]]/Tabla13[[#This Row],[Real GA_DNC]]</f>
        <v>0.99997292482447364</v>
      </c>
      <c r="AI105" s="6">
        <f>Tabla13[[#This Row],[Calculated HGA_(Ph2)]]/Tabla13[[#This Row],[Real HGA_(Ph2)]]</f>
        <v>0.99997184573568165</v>
      </c>
      <c r="AJ105" s="6">
        <f>Tabla13[[#This Row],[Calculated HGA_(Ph1)]]/Tabla13[[#This Row],[Real HGA_(Ph1)]]</f>
        <v>0.99997425979714205</v>
      </c>
      <c r="AK105" s="6">
        <f>Tabla13[[#This Row],[Calculated HGA^H]]/Tabla13[[#This Row],[Real GA^H]]</f>
        <v>0.99997531244055493</v>
      </c>
      <c r="AL105" s="6">
        <f>Tabla13[[#This Row],[Calculated HGA_(Ph2)^H]]/Tabla13[[#This Row],[Real HGA_(Ph2)^H]]</f>
        <v>0.99997105254016605</v>
      </c>
      <c r="AM105" s="6">
        <f>Tabla13[[#This Row],[Calculated HGA_(Ph1)^H]]/Tabla13[[#This Row],[Real HGA_(Ph1)^H]]</f>
        <v>0.99997168108785806</v>
      </c>
    </row>
    <row r="106" spans="1:39">
      <c r="A106" s="6" t="str">
        <f t="shared" si="27"/>
        <v>soykb</v>
      </c>
      <c r="B106" t="s">
        <v>22</v>
      </c>
      <c r="C106">
        <f>_xlfn.XLOOKUP(B106,Instances!$B$2:$B$29,Instances!$A$2:$A$29,,0,1)</f>
        <v>96</v>
      </c>
      <c r="D106">
        <v>16</v>
      </c>
      <c r="E106">
        <v>3385.1</v>
      </c>
      <c r="F106">
        <v>3385.1</v>
      </c>
      <c r="G106">
        <v>3369.9209999999998</v>
      </c>
      <c r="H106">
        <v>3357.6509999999998</v>
      </c>
      <c r="I106">
        <v>3303.797</v>
      </c>
      <c r="J106">
        <v>3400.1709999999998</v>
      </c>
      <c r="K106">
        <v>3379.0259999999989</v>
      </c>
      <c r="L106">
        <v>3304.056</v>
      </c>
      <c r="M106">
        <v>3385.1</v>
      </c>
      <c r="N106" s="7">
        <f t="shared" si="28"/>
        <v>0</v>
      </c>
      <c r="O106" s="1">
        <f t="shared" si="29"/>
        <v>4.484062509231659E-3</v>
      </c>
      <c r="P106" s="1">
        <f t="shared" si="30"/>
        <v>8.1087707896369595E-3</v>
      </c>
      <c r="Q106" s="1">
        <f t="shared" si="31"/>
        <v>2.401790198221615E-2</v>
      </c>
      <c r="R106" s="1">
        <f t="shared" si="32"/>
        <v>-4.4521579864700931E-3</v>
      </c>
      <c r="S106" s="1">
        <f t="shared" si="33"/>
        <v>1.7943339930876425E-3</v>
      </c>
      <c r="T106" s="1">
        <f t="shared" si="34"/>
        <v>2.394139021003807E-2</v>
      </c>
      <c r="U106" s="1">
        <f t="shared" si="35"/>
        <v>0</v>
      </c>
      <c r="V106">
        <v>3186.46</v>
      </c>
      <c r="W106">
        <v>3385.02</v>
      </c>
      <c r="X106">
        <v>3169.127</v>
      </c>
      <c r="Y106">
        <v>3357.5590000000002</v>
      </c>
      <c r="Z106">
        <v>3303.692</v>
      </c>
      <c r="AA106">
        <v>3400.0680000000002</v>
      </c>
      <c r="AB106">
        <v>3378.9450000000002</v>
      </c>
      <c r="AC106">
        <v>3303.95</v>
      </c>
      <c r="AD106">
        <v>3385.02</v>
      </c>
      <c r="AE106" s="6">
        <f>Tabla13[[#This Row],[Calculated HEFT_NC]]/Tabla13[[#This Row],[Real HEFT_NC]]</f>
        <v>0.9413193110986382</v>
      </c>
      <c r="AF106" s="6">
        <f>Tabla13[[#This Row],[Calculated HEFT_DNC]]/Tabla13[[#This Row],[Real HEFT_DNC]]</f>
        <v>0.99997636702017667</v>
      </c>
      <c r="AG106" s="6">
        <f>Tabla13[[#This Row],[Calculated GA_NC]]/Tabla13[[#This Row],[Real GA_NC]]</f>
        <v>0.9404158139018689</v>
      </c>
      <c r="AH106" s="6">
        <f>Tabla13[[#This Row],[Calculated GA_DNC]]/Tabla13[[#This Row],[Real GA_DNC]]</f>
        <v>0.99997259989200793</v>
      </c>
      <c r="AI106" s="6">
        <f>Tabla13[[#This Row],[Calculated HGA_(Ph2)]]/Tabla13[[#This Row],[Real HGA_(Ph2)]]</f>
        <v>0.99996821838629912</v>
      </c>
      <c r="AJ106" s="6">
        <f>Tabla13[[#This Row],[Calculated HGA_(Ph1)]]/Tabla13[[#This Row],[Real HGA_(Ph1)]]</f>
        <v>0.99996970740589231</v>
      </c>
      <c r="AK106" s="6">
        <f>Tabla13[[#This Row],[Calculated HGA^H]]/Tabla13[[#This Row],[Real GA^H]]</f>
        <v>0.99997602859522272</v>
      </c>
      <c r="AL106" s="6">
        <f>Tabla13[[#This Row],[Calculated HGA_(Ph2)^H]]/Tabla13[[#This Row],[Real HGA_(Ph2)^H]]</f>
        <v>0.99996791821930375</v>
      </c>
      <c r="AM106" s="6">
        <f>Tabla13[[#This Row],[Calculated HGA_(Ph1)^H]]/Tabla13[[#This Row],[Real HGA_(Ph1)^H]]</f>
        <v>0.99997636702017667</v>
      </c>
    </row>
    <row r="107" spans="1:39">
      <c r="A107" s="6" t="str">
        <f t="shared" si="27"/>
        <v>soykb</v>
      </c>
      <c r="B107" t="s">
        <v>23</v>
      </c>
      <c r="C107">
        <f>_xlfn.XLOOKUP(B107,Instances!$B$2:$B$29,Instances!$A$2:$A$29,,0,1)</f>
        <v>156</v>
      </c>
      <c r="D107">
        <v>1</v>
      </c>
      <c r="E107">
        <v>27914.799999999999</v>
      </c>
      <c r="F107">
        <v>27914.799999999999</v>
      </c>
      <c r="G107">
        <v>27914.799999999999</v>
      </c>
      <c r="H107">
        <v>27914.799999999999</v>
      </c>
      <c r="I107">
        <v>27914.799999999999</v>
      </c>
      <c r="J107">
        <v>27914.799999999999</v>
      </c>
      <c r="K107">
        <v>27914.799999999999</v>
      </c>
      <c r="L107">
        <v>27914.799999999999</v>
      </c>
      <c r="M107">
        <v>27914.799999999999</v>
      </c>
      <c r="N107" s="7">
        <f t="shared" si="28"/>
        <v>0</v>
      </c>
      <c r="O107" s="1">
        <f t="shared" si="29"/>
        <v>0</v>
      </c>
      <c r="P107" s="1">
        <f t="shared" si="30"/>
        <v>0</v>
      </c>
      <c r="Q107" s="1">
        <f t="shared" si="31"/>
        <v>0</v>
      </c>
      <c r="R107" s="1">
        <f t="shared" si="32"/>
        <v>0</v>
      </c>
      <c r="S107" s="1">
        <f t="shared" si="33"/>
        <v>0</v>
      </c>
      <c r="T107" s="1">
        <f t="shared" si="34"/>
        <v>0</v>
      </c>
      <c r="U107" s="1">
        <f t="shared" si="35"/>
        <v>0</v>
      </c>
      <c r="V107">
        <v>24451.3</v>
      </c>
      <c r="W107">
        <v>27914.5</v>
      </c>
      <c r="X107">
        <v>24451.3</v>
      </c>
      <c r="Y107">
        <v>27914.5</v>
      </c>
      <c r="Z107">
        <v>27914.5</v>
      </c>
      <c r="AA107">
        <v>27914.5</v>
      </c>
      <c r="AB107">
        <v>27914.5</v>
      </c>
      <c r="AC107">
        <v>27914.5</v>
      </c>
      <c r="AD107">
        <v>27914.5</v>
      </c>
      <c r="AE107" s="6">
        <f>Tabla13[[#This Row],[Calculated HEFT_NC]]/Tabla13[[#This Row],[Real HEFT_NC]]</f>
        <v>0.87592603206900999</v>
      </c>
      <c r="AF107" s="6">
        <f>Tabla13[[#This Row],[Calculated HEFT_DNC]]/Tabla13[[#This Row],[Real HEFT_DNC]]</f>
        <v>0.99998925301273878</v>
      </c>
      <c r="AG107" s="6">
        <f>Tabla13[[#This Row],[Calculated GA_NC]]/Tabla13[[#This Row],[Real GA_NC]]</f>
        <v>0.87592603206900999</v>
      </c>
      <c r="AH107" s="6">
        <f>Tabla13[[#This Row],[Calculated GA_DNC]]/Tabla13[[#This Row],[Real GA_DNC]]</f>
        <v>0.99998925301273878</v>
      </c>
      <c r="AI107" s="6">
        <f>Tabla13[[#This Row],[Calculated HGA_(Ph2)]]/Tabla13[[#This Row],[Real HGA_(Ph2)]]</f>
        <v>0.99998925301273878</v>
      </c>
      <c r="AJ107" s="6">
        <f>Tabla13[[#This Row],[Calculated HGA_(Ph1)]]/Tabla13[[#This Row],[Real HGA_(Ph1)]]</f>
        <v>0.99998925301273878</v>
      </c>
      <c r="AK107" s="6">
        <f>Tabla13[[#This Row],[Calculated HGA^H]]/Tabla13[[#This Row],[Real GA^H]]</f>
        <v>0.99998925301273878</v>
      </c>
      <c r="AL107" s="6">
        <f>Tabla13[[#This Row],[Calculated HGA_(Ph2)^H]]/Tabla13[[#This Row],[Real HGA_(Ph2)^H]]</f>
        <v>0.99998925301273878</v>
      </c>
      <c r="AM107" s="6">
        <f>Tabla13[[#This Row],[Calculated HGA_(Ph1)^H]]/Tabla13[[#This Row],[Real HGA_(Ph1)^H]]</f>
        <v>0.99998925301273878</v>
      </c>
    </row>
    <row r="108" spans="1:39">
      <c r="A108" s="6" t="str">
        <f t="shared" si="27"/>
        <v>soykb</v>
      </c>
      <c r="B108" t="s">
        <v>23</v>
      </c>
      <c r="C108">
        <f>_xlfn.XLOOKUP(B108,Instances!$B$2:$B$29,Instances!$A$2:$A$29,,0,1)</f>
        <v>156</v>
      </c>
      <c r="D108">
        <v>2</v>
      </c>
      <c r="E108">
        <v>16140.5</v>
      </c>
      <c r="F108">
        <v>16150</v>
      </c>
      <c r="G108">
        <v>16157.06</v>
      </c>
      <c r="H108">
        <v>16127.98</v>
      </c>
      <c r="I108">
        <v>16121.32</v>
      </c>
      <c r="J108">
        <v>16280.97</v>
      </c>
      <c r="K108">
        <v>16121.1</v>
      </c>
      <c r="L108">
        <v>16121.1</v>
      </c>
      <c r="M108">
        <v>16150</v>
      </c>
      <c r="N108" s="7">
        <f t="shared" si="28"/>
        <v>-5.885815185403178E-4</v>
      </c>
      <c r="O108" s="1">
        <f t="shared" si="29"/>
        <v>-1.0259905207397225E-3</v>
      </c>
      <c r="P108" s="1">
        <f t="shared" si="30"/>
        <v>7.7568848548684589E-4</v>
      </c>
      <c r="Q108" s="1">
        <f t="shared" si="31"/>
        <v>1.1883151079582596E-3</v>
      </c>
      <c r="R108" s="1">
        <f t="shared" si="32"/>
        <v>-8.7029522009850584E-3</v>
      </c>
      <c r="S108" s="1">
        <f t="shared" si="33"/>
        <v>1.2019454168086265E-3</v>
      </c>
      <c r="T108" s="1">
        <f t="shared" si="34"/>
        <v>1.2019454168086265E-3</v>
      </c>
      <c r="U108" s="1">
        <f t="shared" si="35"/>
        <v>-5.885815185403178E-4</v>
      </c>
      <c r="V108">
        <v>14699.4</v>
      </c>
      <c r="W108">
        <v>16149.8</v>
      </c>
      <c r="X108">
        <v>14682.79</v>
      </c>
      <c r="Y108">
        <v>16127.7</v>
      </c>
      <c r="Z108">
        <v>16121.02</v>
      </c>
      <c r="AA108">
        <v>16280.69</v>
      </c>
      <c r="AB108">
        <v>16120.8</v>
      </c>
      <c r="AC108">
        <v>16120.8</v>
      </c>
      <c r="AD108">
        <v>16149.8</v>
      </c>
      <c r="AE108" s="6">
        <f>Tabla13[[#This Row],[Calculated HEFT_NC]]/Tabla13[[#This Row],[Real HEFT_NC]]</f>
        <v>0.91071528143489977</v>
      </c>
      <c r="AF108" s="6">
        <f>Tabla13[[#This Row],[Calculated HEFT_DNC]]/Tabla13[[#This Row],[Real HEFT_DNC]]</f>
        <v>0.99998761609907116</v>
      </c>
      <c r="AG108" s="6">
        <f>Tabla13[[#This Row],[Calculated GA_NC]]/Tabla13[[#This Row],[Real GA_NC]]</f>
        <v>0.90875382031136864</v>
      </c>
      <c r="AH108" s="6">
        <f>Tabla13[[#This Row],[Calculated GA_DNC]]/Tabla13[[#This Row],[Real GA_DNC]]</f>
        <v>0.99998263886735983</v>
      </c>
      <c r="AI108" s="6">
        <f>Tabla13[[#This Row],[Calculated HGA_(Ph2)]]/Tabla13[[#This Row],[Real HGA_(Ph2)]]</f>
        <v>0.99998139110196937</v>
      </c>
      <c r="AJ108" s="6">
        <f>Tabla13[[#This Row],[Calculated HGA_(Ph1)]]/Tabla13[[#This Row],[Real HGA_(Ph1)]]</f>
        <v>0.99998280200749712</v>
      </c>
      <c r="AK108" s="6">
        <f>Tabla13[[#This Row],[Calculated HGA^H]]/Tabla13[[#This Row],[Real GA^H]]</f>
        <v>0.99998139084801896</v>
      </c>
      <c r="AL108" s="6">
        <f>Tabla13[[#This Row],[Calculated HGA_(Ph2)^H]]/Tabla13[[#This Row],[Real HGA_(Ph2)^H]]</f>
        <v>0.99998139084801896</v>
      </c>
      <c r="AM108" s="6">
        <f>Tabla13[[#This Row],[Calculated HGA_(Ph1)^H]]/Tabla13[[#This Row],[Real HGA_(Ph1)^H]]</f>
        <v>0.99998761609907116</v>
      </c>
    </row>
    <row r="109" spans="1:39">
      <c r="A109" s="6" t="str">
        <f t="shared" si="27"/>
        <v>soykb</v>
      </c>
      <c r="B109" t="s">
        <v>23</v>
      </c>
      <c r="C109">
        <f>_xlfn.XLOOKUP(B109,Instances!$B$2:$B$29,Instances!$A$2:$A$29,,0,1)</f>
        <v>156</v>
      </c>
      <c r="D109">
        <v>4</v>
      </c>
      <c r="E109">
        <v>11830.4</v>
      </c>
      <c r="F109">
        <v>11827.8</v>
      </c>
      <c r="G109">
        <v>11850.95</v>
      </c>
      <c r="H109">
        <v>11820.36</v>
      </c>
      <c r="I109">
        <v>11780.01</v>
      </c>
      <c r="J109">
        <v>12012.98</v>
      </c>
      <c r="K109">
        <v>11785.07</v>
      </c>
      <c r="L109">
        <v>11778.6</v>
      </c>
      <c r="M109">
        <v>11827.8</v>
      </c>
      <c r="N109" s="7">
        <f t="shared" si="28"/>
        <v>2.1977278874766397E-4</v>
      </c>
      <c r="O109" s="1">
        <f t="shared" si="29"/>
        <v>-1.7370503110631164E-3</v>
      </c>
      <c r="P109" s="1">
        <f t="shared" si="30"/>
        <v>8.4866107654847298E-4</v>
      </c>
      <c r="Q109" s="1">
        <f t="shared" si="31"/>
        <v>4.2593657019204274E-3</v>
      </c>
      <c r="R109" s="1">
        <f t="shared" si="32"/>
        <v>-1.5433121449824175E-2</v>
      </c>
      <c r="S109" s="1">
        <f t="shared" si="33"/>
        <v>3.831654043819307E-3</v>
      </c>
      <c r="T109" s="1">
        <f t="shared" si="34"/>
        <v>4.3785501758181692E-3</v>
      </c>
      <c r="U109" s="1">
        <f t="shared" si="35"/>
        <v>2.1977278874766397E-4</v>
      </c>
      <c r="V109">
        <v>11069.1</v>
      </c>
      <c r="W109">
        <v>11827.6</v>
      </c>
      <c r="X109">
        <v>11072.07</v>
      </c>
      <c r="Y109">
        <v>11820.16</v>
      </c>
      <c r="Z109">
        <v>11779.8</v>
      </c>
      <c r="AA109">
        <v>12012.73</v>
      </c>
      <c r="AB109">
        <v>11784.86</v>
      </c>
      <c r="AC109">
        <v>11778.36</v>
      </c>
      <c r="AD109">
        <v>11827.6</v>
      </c>
      <c r="AE109" s="6">
        <f>Tabla13[[#This Row],[Calculated HEFT_NC]]/Tabla13[[#This Row],[Real HEFT_NC]]</f>
        <v>0.93564883689477962</v>
      </c>
      <c r="AF109" s="6">
        <f>Tabla13[[#This Row],[Calculated HEFT_DNC]]/Tabla13[[#This Row],[Real HEFT_DNC]]</f>
        <v>0.99998309068465829</v>
      </c>
      <c r="AG109" s="6">
        <f>Tabla13[[#This Row],[Calculated GA_NC]]/Tabla13[[#This Row],[Real GA_NC]]</f>
        <v>0.93427699889038418</v>
      </c>
      <c r="AH109" s="6">
        <f>Tabla13[[#This Row],[Calculated GA_DNC]]/Tabla13[[#This Row],[Real GA_DNC]]</f>
        <v>0.99998308004155534</v>
      </c>
      <c r="AI109" s="6">
        <f>Tabla13[[#This Row],[Calculated HGA_(Ph2)]]/Tabla13[[#This Row],[Real HGA_(Ph2)]]</f>
        <v>0.99998217319000571</v>
      </c>
      <c r="AJ109" s="6">
        <f>Tabla13[[#This Row],[Calculated HGA_(Ph1)]]/Tabla13[[#This Row],[Real HGA_(Ph1)]]</f>
        <v>0.99997918917704021</v>
      </c>
      <c r="AK109" s="6">
        <f>Tabla13[[#This Row],[Calculated HGA^H]]/Tabla13[[#This Row],[Real GA^H]]</f>
        <v>0.99998218084406798</v>
      </c>
      <c r="AL109" s="6">
        <f>Tabla13[[#This Row],[Calculated HGA_(Ph2)^H]]/Tabla13[[#This Row],[Real HGA_(Ph2)^H]]</f>
        <v>0.99997962406398044</v>
      </c>
      <c r="AM109" s="6">
        <f>Tabla13[[#This Row],[Calculated HGA_(Ph1)^H]]/Tabla13[[#This Row],[Real HGA_(Ph1)^H]]</f>
        <v>0.99998309068465829</v>
      </c>
    </row>
    <row r="110" spans="1:39">
      <c r="A110" s="6" t="str">
        <f t="shared" si="27"/>
        <v>soykb</v>
      </c>
      <c r="B110" t="s">
        <v>23</v>
      </c>
      <c r="C110">
        <f>_xlfn.XLOOKUP(B110,Instances!$B$2:$B$29,Instances!$A$2:$A$29,,0,1)</f>
        <v>156</v>
      </c>
      <c r="D110">
        <v>8</v>
      </c>
      <c r="E110">
        <v>9775.5300000000007</v>
      </c>
      <c r="F110">
        <v>9775.5300000000007</v>
      </c>
      <c r="G110">
        <v>9769.3139999999985</v>
      </c>
      <c r="H110">
        <v>9750.2949999999983</v>
      </c>
      <c r="I110">
        <v>9696.0720000000001</v>
      </c>
      <c r="J110">
        <v>9871.5949999999993</v>
      </c>
      <c r="K110">
        <v>9768.0499999999993</v>
      </c>
      <c r="L110">
        <v>9693.2489999999998</v>
      </c>
      <c r="M110">
        <v>9775.5300000000007</v>
      </c>
      <c r="N110" s="7">
        <f t="shared" si="28"/>
        <v>0</v>
      </c>
      <c r="O110" s="1">
        <f t="shared" si="29"/>
        <v>6.3587345136296113E-4</v>
      </c>
      <c r="P110" s="1">
        <f t="shared" si="30"/>
        <v>2.5814457118951504E-3</v>
      </c>
      <c r="Q110" s="1">
        <f t="shared" si="31"/>
        <v>8.1282549386069644E-3</v>
      </c>
      <c r="R110" s="1">
        <f t="shared" si="32"/>
        <v>-9.8270886591313913E-3</v>
      </c>
      <c r="S110" s="1">
        <f t="shared" si="33"/>
        <v>7.6517590350614055E-4</v>
      </c>
      <c r="T110" s="1">
        <f t="shared" si="34"/>
        <v>8.417037234809863E-3</v>
      </c>
      <c r="U110" s="1">
        <f t="shared" si="35"/>
        <v>0</v>
      </c>
      <c r="V110">
        <v>9356.61</v>
      </c>
      <c r="W110">
        <v>9775.34</v>
      </c>
      <c r="X110">
        <v>9321.6769999999997</v>
      </c>
      <c r="Y110">
        <v>9750.117000000002</v>
      </c>
      <c r="Z110">
        <v>9695.8739999999998</v>
      </c>
      <c r="AA110">
        <v>9871.4179999999997</v>
      </c>
      <c r="AB110">
        <v>9767.8739999999998</v>
      </c>
      <c r="AC110">
        <v>9693.0439999999999</v>
      </c>
      <c r="AD110">
        <v>9775.34</v>
      </c>
      <c r="AE110" s="6">
        <f>Tabla13[[#This Row],[Calculated HEFT_NC]]/Tabla13[[#This Row],[Real HEFT_NC]]</f>
        <v>0.95714605755391269</v>
      </c>
      <c r="AF110" s="6">
        <f>Tabla13[[#This Row],[Calculated HEFT_DNC]]/Tabla13[[#This Row],[Real HEFT_DNC]]</f>
        <v>0.99998056371368094</v>
      </c>
      <c r="AG110" s="6">
        <f>Tabla13[[#This Row],[Calculated GA_NC]]/Tabla13[[#This Row],[Real GA_NC]]</f>
        <v>0.95417928014188114</v>
      </c>
      <c r="AH110" s="6">
        <f>Tabla13[[#This Row],[Calculated GA_DNC]]/Tabla13[[#This Row],[Real GA_DNC]]</f>
        <v>0.99998174414210073</v>
      </c>
      <c r="AI110" s="6">
        <f>Tabla13[[#This Row],[Calculated HGA_(Ph2)]]/Tabla13[[#This Row],[Real HGA_(Ph2)]]</f>
        <v>0.99997957935955917</v>
      </c>
      <c r="AJ110" s="6">
        <f>Tabla13[[#This Row],[Calculated HGA_(Ph1)]]/Tabla13[[#This Row],[Real HGA_(Ph1)]]</f>
        <v>0.99998206976684112</v>
      </c>
      <c r="AK110" s="6">
        <f>Tabla13[[#This Row],[Calculated HGA^H]]/Tabla13[[#This Row],[Real GA^H]]</f>
        <v>0.99998198207421141</v>
      </c>
      <c r="AL110" s="6">
        <f>Tabla13[[#This Row],[Calculated HGA_(Ph2)^H]]/Tabla13[[#This Row],[Real HGA_(Ph2)^H]]</f>
        <v>0.99997885126029462</v>
      </c>
      <c r="AM110" s="6">
        <f>Tabla13[[#This Row],[Calculated HGA_(Ph1)^H]]/Tabla13[[#This Row],[Real HGA_(Ph1)^H]]</f>
        <v>0.99998056371368094</v>
      </c>
    </row>
    <row r="111" spans="1:39">
      <c r="A111" s="6" t="str">
        <f t="shared" si="27"/>
        <v>soykb</v>
      </c>
      <c r="B111" t="s">
        <v>23</v>
      </c>
      <c r="C111">
        <f>_xlfn.XLOOKUP(B111,Instances!$B$2:$B$29,Instances!$A$2:$A$29,,0,1)</f>
        <v>156</v>
      </c>
      <c r="D111">
        <v>16</v>
      </c>
      <c r="E111">
        <v>8781.9599999999973</v>
      </c>
      <c r="F111">
        <v>8781.9599999999973</v>
      </c>
      <c r="G111">
        <v>8757.6670000000013</v>
      </c>
      <c r="H111">
        <v>8737.8520000000008</v>
      </c>
      <c r="I111">
        <v>8685.2350000000006</v>
      </c>
      <c r="J111">
        <v>8823.9449999999979</v>
      </c>
      <c r="K111">
        <v>8740.9929999999986</v>
      </c>
      <c r="L111">
        <v>8679.4050000000007</v>
      </c>
      <c r="M111">
        <v>8781.9599999999973</v>
      </c>
      <c r="N111" s="7">
        <f t="shared" si="28"/>
        <v>0</v>
      </c>
      <c r="O111" s="1">
        <f t="shared" si="29"/>
        <v>2.766238971709736E-3</v>
      </c>
      <c r="P111" s="1">
        <f t="shared" si="30"/>
        <v>5.0225689937094392E-3</v>
      </c>
      <c r="Q111" s="1">
        <f t="shared" si="31"/>
        <v>1.1014056087706703E-2</v>
      </c>
      <c r="R111" s="1">
        <f t="shared" si="32"/>
        <v>-4.7808234152741068E-3</v>
      </c>
      <c r="S111" s="1">
        <f t="shared" si="33"/>
        <v>4.6649039622133036E-3</v>
      </c>
      <c r="T111" s="1">
        <f t="shared" si="34"/>
        <v>1.1677917002582189E-2</v>
      </c>
      <c r="U111" s="1">
        <f t="shared" si="35"/>
        <v>0</v>
      </c>
      <c r="V111">
        <v>8509.7999999999993</v>
      </c>
      <c r="W111">
        <v>8781.7800000000007</v>
      </c>
      <c r="X111">
        <v>8479.3389999999999</v>
      </c>
      <c r="Y111">
        <v>8737.6859999999997</v>
      </c>
      <c r="Z111">
        <v>8685.0369999999984</v>
      </c>
      <c r="AA111">
        <v>8823.7709999999988</v>
      </c>
      <c r="AB111">
        <v>8740.8279999999995</v>
      </c>
      <c r="AC111">
        <v>8679.1979999999985</v>
      </c>
      <c r="AD111">
        <v>8781.7800000000007</v>
      </c>
      <c r="AE111" s="6">
        <f>Tabla13[[#This Row],[Calculated HEFT_NC]]/Tabla13[[#This Row],[Real HEFT_NC]]</f>
        <v>0.96900919612478331</v>
      </c>
      <c r="AF111" s="6">
        <f>Tabla13[[#This Row],[Calculated HEFT_DNC]]/Tabla13[[#This Row],[Real HEFT_DNC]]</f>
        <v>0.99997950343659081</v>
      </c>
      <c r="AG111" s="6">
        <f>Tabla13[[#This Row],[Calculated GA_NC]]/Tabla13[[#This Row],[Real GA_NC]]</f>
        <v>0.9682189331930523</v>
      </c>
      <c r="AH111" s="6">
        <f>Tabla13[[#This Row],[Calculated GA_DNC]]/Tabla13[[#This Row],[Real GA_DNC]]</f>
        <v>0.99998100219596286</v>
      </c>
      <c r="AI111" s="6">
        <f>Tabla13[[#This Row],[Calculated HGA_(Ph2)]]/Tabla13[[#This Row],[Real HGA_(Ph2)]]</f>
        <v>0.99997720268939161</v>
      </c>
      <c r="AJ111" s="6">
        <f>Tabla13[[#This Row],[Calculated HGA_(Ph1)]]/Tabla13[[#This Row],[Real HGA_(Ph1)]]</f>
        <v>0.99998028092876834</v>
      </c>
      <c r="AK111" s="6">
        <f>Tabla13[[#This Row],[Calculated HGA^H]]/Tabla13[[#This Row],[Real GA^H]]</f>
        <v>0.99998112342613721</v>
      </c>
      <c r="AL111" s="6">
        <f>Tabla13[[#This Row],[Calculated HGA_(Ph2)^H]]/Tabla13[[#This Row],[Real HGA_(Ph2)^H]]</f>
        <v>0.99997615043888355</v>
      </c>
      <c r="AM111" s="6">
        <f>Tabla13[[#This Row],[Calculated HGA_(Ph1)^H]]/Tabla13[[#This Row],[Real HGA_(Ph1)^H]]</f>
        <v>0.99997950343659081</v>
      </c>
    </row>
    <row r="112" spans="1:39">
      <c r="A112" s="6" t="str">
        <f t="shared" si="27"/>
        <v>soykb</v>
      </c>
      <c r="B112" t="s">
        <v>24</v>
      </c>
      <c r="C112">
        <f>_xlfn.XLOOKUP(B112,Instances!$B$2:$B$29,Instances!$A$2:$A$29,,0,1)</f>
        <v>256</v>
      </c>
      <c r="D112">
        <v>1</v>
      </c>
      <c r="E112">
        <v>39116.5</v>
      </c>
      <c r="F112">
        <v>39116.5</v>
      </c>
      <c r="G112">
        <v>39116.5</v>
      </c>
      <c r="H112">
        <v>39116.5</v>
      </c>
      <c r="I112">
        <v>39116.5</v>
      </c>
      <c r="J112">
        <v>39116.5</v>
      </c>
      <c r="K112">
        <v>39116.5</v>
      </c>
      <c r="L112">
        <v>39116.5</v>
      </c>
      <c r="M112">
        <v>39116.5</v>
      </c>
      <c r="N112" s="7">
        <f t="shared" si="28"/>
        <v>0</v>
      </c>
      <c r="O112" s="1">
        <f t="shared" si="29"/>
        <v>0</v>
      </c>
      <c r="P112" s="1">
        <f t="shared" si="30"/>
        <v>0</v>
      </c>
      <c r="Q112" s="1">
        <f t="shared" si="31"/>
        <v>0</v>
      </c>
      <c r="R112" s="1">
        <f t="shared" si="32"/>
        <v>0</v>
      </c>
      <c r="S112" s="1">
        <f t="shared" si="33"/>
        <v>0</v>
      </c>
      <c r="T112" s="1">
        <f t="shared" si="34"/>
        <v>0</v>
      </c>
      <c r="U112" s="1">
        <f t="shared" si="35"/>
        <v>0</v>
      </c>
      <c r="V112">
        <v>33912.099999999991</v>
      </c>
      <c r="W112">
        <v>39116</v>
      </c>
      <c r="X112">
        <v>33912.099999999991</v>
      </c>
      <c r="Y112">
        <v>39116</v>
      </c>
      <c r="Z112">
        <v>39116</v>
      </c>
      <c r="AA112">
        <v>39116</v>
      </c>
      <c r="AB112">
        <v>39116</v>
      </c>
      <c r="AC112">
        <v>39116</v>
      </c>
      <c r="AD112">
        <v>39116</v>
      </c>
      <c r="AE112" s="6">
        <f>Tabla13[[#This Row],[Calculated HEFT_NC]]/Tabla13[[#This Row],[Real HEFT_NC]]</f>
        <v>0.86695128654148479</v>
      </c>
      <c r="AF112" s="6">
        <f>Tabla13[[#This Row],[Calculated HEFT_DNC]]/Tabla13[[#This Row],[Real HEFT_DNC]]</f>
        <v>0.99998721767029264</v>
      </c>
      <c r="AG112" s="6">
        <f>Tabla13[[#This Row],[Calculated GA_NC]]/Tabla13[[#This Row],[Real GA_NC]]</f>
        <v>0.86695128654148479</v>
      </c>
      <c r="AH112" s="6">
        <f>Tabla13[[#This Row],[Calculated GA_DNC]]/Tabla13[[#This Row],[Real GA_DNC]]</f>
        <v>0.99998721767029264</v>
      </c>
      <c r="AI112" s="6">
        <f>Tabla13[[#This Row],[Calculated HGA_(Ph2)]]/Tabla13[[#This Row],[Real HGA_(Ph2)]]</f>
        <v>0.99998721767029264</v>
      </c>
      <c r="AJ112" s="6">
        <f>Tabla13[[#This Row],[Calculated HGA_(Ph1)]]/Tabla13[[#This Row],[Real HGA_(Ph1)]]</f>
        <v>0.99998721767029264</v>
      </c>
      <c r="AK112" s="6">
        <f>Tabla13[[#This Row],[Calculated HGA^H]]/Tabla13[[#This Row],[Real GA^H]]</f>
        <v>0.99998721767029264</v>
      </c>
      <c r="AL112" s="6">
        <f>Tabla13[[#This Row],[Calculated HGA_(Ph2)^H]]/Tabla13[[#This Row],[Real HGA_(Ph2)^H]]</f>
        <v>0.99998721767029264</v>
      </c>
      <c r="AM112" s="6">
        <f>Tabla13[[#This Row],[Calculated HGA_(Ph1)^H]]/Tabla13[[#This Row],[Real HGA_(Ph1)^H]]</f>
        <v>0.99998721767029264</v>
      </c>
    </row>
    <row r="113" spans="1:39">
      <c r="A113" s="6" t="str">
        <f t="shared" si="27"/>
        <v>soykb</v>
      </c>
      <c r="B113" t="s">
        <v>24</v>
      </c>
      <c r="C113">
        <f>_xlfn.XLOOKUP(B113,Instances!$B$2:$B$29,Instances!$A$2:$A$29,,0,1)</f>
        <v>256</v>
      </c>
      <c r="D113">
        <v>2</v>
      </c>
      <c r="E113">
        <v>21282.7</v>
      </c>
      <c r="F113">
        <v>21303.9</v>
      </c>
      <c r="G113">
        <v>21351.18</v>
      </c>
      <c r="H113">
        <v>21272.720000000001</v>
      </c>
      <c r="I113">
        <v>21272</v>
      </c>
      <c r="J113">
        <v>21527.17</v>
      </c>
      <c r="K113">
        <v>21272.01</v>
      </c>
      <c r="L113">
        <v>21272</v>
      </c>
      <c r="M113">
        <v>21273.08</v>
      </c>
      <c r="N113" s="7">
        <f t="shared" si="28"/>
        <v>-9.9611421483179882E-4</v>
      </c>
      <c r="O113" s="1">
        <f t="shared" si="29"/>
        <v>-3.2176368599848497E-3</v>
      </c>
      <c r="P113" s="1">
        <f t="shared" si="30"/>
        <v>4.6892546528398948E-4</v>
      </c>
      <c r="Q113" s="1">
        <f t="shared" si="31"/>
        <v>5.0275575937267013E-4</v>
      </c>
      <c r="R113" s="1">
        <f t="shared" si="32"/>
        <v>-1.1486794438675427E-2</v>
      </c>
      <c r="S113" s="1">
        <f t="shared" si="33"/>
        <v>5.0228589417707005E-4</v>
      </c>
      <c r="T113" s="1">
        <f t="shared" si="34"/>
        <v>5.0275575937267013E-4</v>
      </c>
      <c r="U113" s="1">
        <f t="shared" si="35"/>
        <v>4.5201031823964913E-4</v>
      </c>
      <c r="V113">
        <v>18860.400000000001</v>
      </c>
      <c r="W113">
        <v>21303.4</v>
      </c>
      <c r="X113">
        <v>18840.88</v>
      </c>
      <c r="Y113">
        <v>21272.240000000002</v>
      </c>
      <c r="Z113">
        <v>21271.5</v>
      </c>
      <c r="AA113">
        <v>21526.7</v>
      </c>
      <c r="AB113">
        <v>21271.51</v>
      </c>
      <c r="AC113">
        <v>21271.5</v>
      </c>
      <c r="AD113">
        <v>21272.6</v>
      </c>
      <c r="AE113" s="6">
        <f>Tabla13[[#This Row],[Calculated HEFT_NC]]/Tabla13[[#This Row],[Real HEFT_NC]]</f>
        <v>0.88618455365155746</v>
      </c>
      <c r="AF113" s="6">
        <f>Tabla13[[#This Row],[Calculated HEFT_DNC]]/Tabla13[[#This Row],[Real HEFT_DNC]]</f>
        <v>0.99997653011889842</v>
      </c>
      <c r="AG113" s="6">
        <f>Tabla13[[#This Row],[Calculated GA_NC]]/Tabla13[[#This Row],[Real GA_NC]]</f>
        <v>0.88242804378961726</v>
      </c>
      <c r="AH113" s="6">
        <f>Tabla13[[#This Row],[Calculated GA_DNC]]/Tabla13[[#This Row],[Real GA_DNC]]</f>
        <v>0.99997743588972166</v>
      </c>
      <c r="AI113" s="6">
        <f>Tabla13[[#This Row],[Calculated HGA_(Ph2)]]/Tabla13[[#This Row],[Real HGA_(Ph2)]]</f>
        <v>0.9999764949229033</v>
      </c>
      <c r="AJ113" s="6">
        <f>Tabla13[[#This Row],[Calculated HGA_(Ph1)]]/Tabla13[[#This Row],[Real HGA_(Ph1)]]</f>
        <v>0.99997816712554422</v>
      </c>
      <c r="AK113" s="6">
        <f>Tabla13[[#This Row],[Calculated HGA^H]]/Tabla13[[#This Row],[Real GA^H]]</f>
        <v>0.99997649493395313</v>
      </c>
      <c r="AL113" s="6">
        <f>Tabla13[[#This Row],[Calculated HGA_(Ph2)^H]]/Tabla13[[#This Row],[Real HGA_(Ph2)^H]]</f>
        <v>0.9999764949229033</v>
      </c>
      <c r="AM113" s="6">
        <f>Tabla13[[#This Row],[Calculated HGA_(Ph1)^H]]/Tabla13[[#This Row],[Real HGA_(Ph1)^H]]</f>
        <v>0.99997743627156932</v>
      </c>
    </row>
    <row r="114" spans="1:39">
      <c r="A114" s="6" t="str">
        <f t="shared" si="27"/>
        <v>soykb</v>
      </c>
      <c r="B114" t="s">
        <v>24</v>
      </c>
      <c r="C114">
        <f>_xlfn.XLOOKUP(B114,Instances!$B$2:$B$29,Instances!$A$2:$A$29,,0,1)</f>
        <v>256</v>
      </c>
      <c r="D114">
        <v>4</v>
      </c>
      <c r="E114">
        <v>14028.3</v>
      </c>
      <c r="F114">
        <v>14023</v>
      </c>
      <c r="G114">
        <v>14108.55</v>
      </c>
      <c r="H114">
        <v>14015.58</v>
      </c>
      <c r="I114">
        <v>14004.43</v>
      </c>
      <c r="J114">
        <v>14067.11</v>
      </c>
      <c r="K114">
        <v>14007.86</v>
      </c>
      <c r="L114">
        <v>14004.12</v>
      </c>
      <c r="M114">
        <v>14023</v>
      </c>
      <c r="N114" s="7">
        <f t="shared" si="28"/>
        <v>3.7780771725720667E-4</v>
      </c>
      <c r="O114" s="1">
        <f t="shared" si="29"/>
        <v>-5.720579115074528E-3</v>
      </c>
      <c r="P114" s="1">
        <f t="shared" si="30"/>
        <v>9.0673852141737383E-4</v>
      </c>
      <c r="Q114" s="1">
        <f t="shared" si="31"/>
        <v>1.7015604171566748E-3</v>
      </c>
      <c r="R114" s="1">
        <f t="shared" si="32"/>
        <v>-2.7665504729725847E-3</v>
      </c>
      <c r="S114" s="1">
        <f t="shared" si="33"/>
        <v>1.457054668063749E-3</v>
      </c>
      <c r="T114" s="1">
        <f t="shared" si="34"/>
        <v>1.7236586043924405E-3</v>
      </c>
      <c r="U114" s="1">
        <f t="shared" si="35"/>
        <v>3.7780771725720667E-4</v>
      </c>
      <c r="V114">
        <v>12790.9</v>
      </c>
      <c r="W114">
        <v>14022.6</v>
      </c>
      <c r="X114">
        <v>12793.57</v>
      </c>
      <c r="Y114">
        <v>14015.22</v>
      </c>
      <c r="Z114">
        <v>14004.06</v>
      </c>
      <c r="AA114">
        <v>14066.78</v>
      </c>
      <c r="AB114">
        <v>14007.46</v>
      </c>
      <c r="AC114">
        <v>14003.74</v>
      </c>
      <c r="AD114">
        <v>14022.6</v>
      </c>
      <c r="AE114" s="6">
        <f>Tabla13[[#This Row],[Calculated HEFT_NC]]/Tabla13[[#This Row],[Real HEFT_NC]]</f>
        <v>0.91179259069167329</v>
      </c>
      <c r="AF114" s="6">
        <f>Tabla13[[#This Row],[Calculated HEFT_DNC]]/Tabla13[[#This Row],[Real HEFT_DNC]]</f>
        <v>0.99997147543321685</v>
      </c>
      <c r="AG114" s="6">
        <f>Tabla13[[#This Row],[Calculated GA_NC]]/Tabla13[[#This Row],[Real GA_NC]]</f>
        <v>0.90679552469956159</v>
      </c>
      <c r="AH114" s="6">
        <f>Tabla13[[#This Row],[Calculated GA_DNC]]/Tabla13[[#This Row],[Real GA_DNC]]</f>
        <v>0.99997431429880168</v>
      </c>
      <c r="AI114" s="6">
        <f>Tabla13[[#This Row],[Calculated HGA_(Ph2)]]/Tabla13[[#This Row],[Real HGA_(Ph2)]]</f>
        <v>0.99997357978868107</v>
      </c>
      <c r="AJ114" s="6">
        <f>Tabla13[[#This Row],[Calculated HGA_(Ph1)]]/Tabla13[[#This Row],[Real HGA_(Ph1)]]</f>
        <v>0.99997654102370703</v>
      </c>
      <c r="AK114" s="6">
        <f>Tabla13[[#This Row],[Calculated HGA^H]]/Tabla13[[#This Row],[Real GA^H]]</f>
        <v>0.99997144460324405</v>
      </c>
      <c r="AL114" s="6">
        <f>Tabla13[[#This Row],[Calculated HGA_(Ph2)^H]]/Tabla13[[#This Row],[Real HGA_(Ph2)^H]]</f>
        <v>0.99997286512826222</v>
      </c>
      <c r="AM114" s="6">
        <f>Tabla13[[#This Row],[Calculated HGA_(Ph1)^H]]/Tabla13[[#This Row],[Real HGA_(Ph1)^H]]</f>
        <v>0.99997147543321685</v>
      </c>
    </row>
    <row r="115" spans="1:39">
      <c r="A115" s="6" t="str">
        <f t="shared" si="27"/>
        <v>soykb</v>
      </c>
      <c r="B115" t="s">
        <v>24</v>
      </c>
      <c r="C115">
        <f>_xlfn.XLOOKUP(B115,Instances!$B$2:$B$29,Instances!$A$2:$A$29,,0,1)</f>
        <v>256</v>
      </c>
      <c r="D115">
        <v>8</v>
      </c>
      <c r="E115">
        <v>10416.4</v>
      </c>
      <c r="F115">
        <v>10390.1</v>
      </c>
      <c r="G115">
        <v>10501.6</v>
      </c>
      <c r="H115">
        <v>10455.51</v>
      </c>
      <c r="I115">
        <v>10373.68</v>
      </c>
      <c r="J115">
        <v>10484.030000000001</v>
      </c>
      <c r="K115">
        <v>10381.34</v>
      </c>
      <c r="L115">
        <v>10370.36</v>
      </c>
      <c r="M115">
        <v>10390.1</v>
      </c>
      <c r="N115" s="7">
        <f t="shared" si="28"/>
        <v>2.5248646365346257E-3</v>
      </c>
      <c r="O115" s="1">
        <f t="shared" si="29"/>
        <v>-8.1794093928805271E-3</v>
      </c>
      <c r="P115" s="1">
        <f t="shared" si="30"/>
        <v>-3.7546561191967075E-3</v>
      </c>
      <c r="Q115" s="1">
        <f t="shared" si="31"/>
        <v>4.1012249913597162E-3</v>
      </c>
      <c r="R115" s="1">
        <f t="shared" si="32"/>
        <v>-6.4926462117431191E-3</v>
      </c>
      <c r="S115" s="1">
        <f t="shared" si="33"/>
        <v>3.365846165661792E-3</v>
      </c>
      <c r="T115" s="1">
        <f t="shared" si="34"/>
        <v>4.4199531508005699E-3</v>
      </c>
      <c r="U115" s="1">
        <f t="shared" si="35"/>
        <v>2.5248646365346257E-3</v>
      </c>
      <c r="V115">
        <v>9752.14</v>
      </c>
      <c r="W115">
        <v>10389.799999999999</v>
      </c>
      <c r="X115">
        <v>9796.7829999999994</v>
      </c>
      <c r="Y115">
        <v>10455.23</v>
      </c>
      <c r="Z115">
        <v>10373.370000000001</v>
      </c>
      <c r="AA115">
        <v>10483.77</v>
      </c>
      <c r="AB115">
        <v>10381.040000000001</v>
      </c>
      <c r="AC115">
        <v>10370.040000000001</v>
      </c>
      <c r="AD115">
        <v>10389.799999999999</v>
      </c>
      <c r="AE115" s="6">
        <f>Tabla13[[#This Row],[Calculated HEFT_NC]]/Tabla13[[#This Row],[Real HEFT_NC]]</f>
        <v>0.93622940747283123</v>
      </c>
      <c r="AF115" s="6">
        <f>Tabla13[[#This Row],[Calculated HEFT_DNC]]/Tabla13[[#This Row],[Real HEFT_DNC]]</f>
        <v>0.99997112636067009</v>
      </c>
      <c r="AG115" s="6">
        <f>Tabla13[[#This Row],[Calculated GA_NC]]/Tabla13[[#This Row],[Real GA_NC]]</f>
        <v>0.9328847985068941</v>
      </c>
      <c r="AH115" s="6">
        <f>Tabla13[[#This Row],[Calculated GA_DNC]]/Tabla13[[#This Row],[Real GA_DNC]]</f>
        <v>0.99997321986206311</v>
      </c>
      <c r="AI115" s="6">
        <f>Tabla13[[#This Row],[Calculated HGA_(Ph2)]]/Tabla13[[#This Row],[Real HGA_(Ph2)]]</f>
        <v>0.99997011667990532</v>
      </c>
      <c r="AJ115" s="6">
        <f>Tabla13[[#This Row],[Calculated HGA_(Ph1)]]/Tabla13[[#This Row],[Real HGA_(Ph1)]]</f>
        <v>0.99997520037619114</v>
      </c>
      <c r="AK115" s="6">
        <f>Tabla13[[#This Row],[Calculated HGA^H]]/Tabla13[[#This Row],[Real GA^H]]</f>
        <v>0.99997110199646677</v>
      </c>
      <c r="AL115" s="6">
        <f>Tabla13[[#This Row],[Calculated HGA_(Ph2)^H]]/Tabla13[[#This Row],[Real HGA_(Ph2)^H]]</f>
        <v>0.99996914282628568</v>
      </c>
      <c r="AM115" s="6">
        <f>Tabla13[[#This Row],[Calculated HGA_(Ph1)^H]]/Tabla13[[#This Row],[Real HGA_(Ph1)^H]]</f>
        <v>0.99997112636067009</v>
      </c>
    </row>
    <row r="116" spans="1:39">
      <c r="A116" s="6" t="str">
        <f t="shared" si="27"/>
        <v>soykb</v>
      </c>
      <c r="B116" t="s">
        <v>24</v>
      </c>
      <c r="C116">
        <f>_xlfn.XLOOKUP(B116,Instances!$B$2:$B$29,Instances!$A$2:$A$29,,0,1)</f>
        <v>256</v>
      </c>
      <c r="D116">
        <v>16</v>
      </c>
      <c r="E116">
        <v>8597.8999999999978</v>
      </c>
      <c r="F116">
        <v>8597.89</v>
      </c>
      <c r="G116">
        <v>8789.1980000000003</v>
      </c>
      <c r="H116">
        <v>8757.2540000000008</v>
      </c>
      <c r="I116">
        <v>8583.9250000000011</v>
      </c>
      <c r="J116">
        <v>8775.3510000000006</v>
      </c>
      <c r="K116">
        <v>8597.0730000000003</v>
      </c>
      <c r="L116">
        <v>8578.0540000000001</v>
      </c>
      <c r="M116">
        <v>8597.89</v>
      </c>
      <c r="N116" s="7">
        <f t="shared" si="28"/>
        <v>1.1630747041020821E-6</v>
      </c>
      <c r="O116" s="1">
        <f t="shared" si="29"/>
        <v>-2.2249386478093786E-2</v>
      </c>
      <c r="P116" s="1">
        <f t="shared" si="30"/>
        <v>-1.8534060642715434E-2</v>
      </c>
      <c r="Q116" s="1">
        <f t="shared" si="31"/>
        <v>1.6253968992424579E-3</v>
      </c>
      <c r="R116" s="1">
        <f t="shared" si="32"/>
        <v>-2.0638876935065865E-2</v>
      </c>
      <c r="S116" s="1">
        <f t="shared" si="33"/>
        <v>9.6186278044347722E-5</v>
      </c>
      <c r="T116" s="1">
        <f t="shared" si="34"/>
        <v>2.3082380581302101E-3</v>
      </c>
      <c r="U116" s="1">
        <f t="shared" si="35"/>
        <v>1.1630747041020821E-6</v>
      </c>
      <c r="V116">
        <v>8252.2900000000027</v>
      </c>
      <c r="W116">
        <v>8597.6799999999985</v>
      </c>
      <c r="X116">
        <v>8397.0159999999996</v>
      </c>
      <c r="Y116">
        <v>8757.0379999999986</v>
      </c>
      <c r="Z116">
        <v>8583.6950000000015</v>
      </c>
      <c r="AA116">
        <v>8775.1459999999988</v>
      </c>
      <c r="AB116">
        <v>8596.86</v>
      </c>
      <c r="AC116">
        <v>8577.8169999999991</v>
      </c>
      <c r="AD116">
        <v>8597.6799999999985</v>
      </c>
      <c r="AE116" s="6">
        <f>Tabla13[[#This Row],[Calculated HEFT_NC]]/Tabla13[[#This Row],[Real HEFT_NC]]</f>
        <v>0.95980297514509416</v>
      </c>
      <c r="AF116" s="6">
        <f>Tabla13[[#This Row],[Calculated HEFT_DNC]]/Tabla13[[#This Row],[Real HEFT_DNC]]</f>
        <v>0.99997557540280224</v>
      </c>
      <c r="AG116" s="6">
        <f>Tabla13[[#This Row],[Calculated GA_NC]]/Tabla13[[#This Row],[Real GA_NC]]</f>
        <v>0.95537909147114441</v>
      </c>
      <c r="AH116" s="6">
        <f>Tabla13[[#This Row],[Calculated GA_DNC]]/Tabla13[[#This Row],[Real GA_DNC]]</f>
        <v>0.9999753347339243</v>
      </c>
      <c r="AI116" s="6">
        <f>Tabla13[[#This Row],[Calculated HGA_(Ph2)]]/Tabla13[[#This Row],[Real HGA_(Ph2)]]</f>
        <v>0.99997320573047888</v>
      </c>
      <c r="AJ116" s="6">
        <f>Tabla13[[#This Row],[Calculated HGA_(Ph1)]]/Tabla13[[#This Row],[Real HGA_(Ph1)]]</f>
        <v>0.99997663911107348</v>
      </c>
      <c r="AK116" s="6">
        <f>Tabla13[[#This Row],[Calculated HGA^H]]/Tabla13[[#This Row],[Real GA^H]]</f>
        <v>0.9999752241256995</v>
      </c>
      <c r="AL116" s="6">
        <f>Tabla13[[#This Row],[Calculated HGA_(Ph2)^H]]/Tabla13[[#This Row],[Real HGA_(Ph2)^H]]</f>
        <v>0.99997237135602068</v>
      </c>
      <c r="AM116" s="6">
        <f>Tabla13[[#This Row],[Calculated HGA_(Ph1)^H]]/Tabla13[[#This Row],[Real HGA_(Ph1)^H]]</f>
        <v>0.99997557540280224</v>
      </c>
    </row>
    <row r="117" spans="1:39">
      <c r="A117" s="6" t="str">
        <f t="shared" si="27"/>
        <v>soykb</v>
      </c>
      <c r="B117" t="s">
        <v>25</v>
      </c>
      <c r="C117">
        <f>_xlfn.XLOOKUP(B117,Instances!$B$2:$B$29,Instances!$A$2:$A$29,,0,1)</f>
        <v>546</v>
      </c>
      <c r="D117">
        <v>1</v>
      </c>
      <c r="E117">
        <v>103597</v>
      </c>
      <c r="F117">
        <v>103597</v>
      </c>
      <c r="G117">
        <v>103597</v>
      </c>
      <c r="H117">
        <v>103597</v>
      </c>
      <c r="I117">
        <v>103597</v>
      </c>
      <c r="J117">
        <v>103597</v>
      </c>
      <c r="K117">
        <v>103597</v>
      </c>
      <c r="L117">
        <v>103597</v>
      </c>
      <c r="M117">
        <v>103597</v>
      </c>
      <c r="N117" s="7">
        <f t="shared" si="28"/>
        <v>0</v>
      </c>
      <c r="O117" s="1">
        <f t="shared" si="29"/>
        <v>0</v>
      </c>
      <c r="P117" s="1">
        <f t="shared" si="30"/>
        <v>0</v>
      </c>
      <c r="Q117" s="1">
        <f t="shared" si="31"/>
        <v>0</v>
      </c>
      <c r="R117" s="1">
        <f t="shared" si="32"/>
        <v>0</v>
      </c>
      <c r="S117" s="1">
        <f t="shared" si="33"/>
        <v>0</v>
      </c>
      <c r="T117" s="1">
        <f t="shared" si="34"/>
        <v>0</v>
      </c>
      <c r="U117" s="1">
        <f t="shared" si="35"/>
        <v>0</v>
      </c>
      <c r="V117">
        <v>91650.6</v>
      </c>
      <c r="W117">
        <v>103596</v>
      </c>
      <c r="X117">
        <v>91650.6</v>
      </c>
      <c r="Y117">
        <v>103596</v>
      </c>
      <c r="Z117">
        <v>103596</v>
      </c>
      <c r="AA117">
        <v>103596</v>
      </c>
      <c r="AB117">
        <v>103596</v>
      </c>
      <c r="AC117">
        <v>103596</v>
      </c>
      <c r="AD117">
        <v>103596</v>
      </c>
      <c r="AE117" s="6">
        <f>Tabla13[[#This Row],[Calculated HEFT_NC]]/Tabla13[[#This Row],[Real HEFT_NC]]</f>
        <v>0.88468391941851598</v>
      </c>
      <c r="AF117" s="6">
        <f>Tabla13[[#This Row],[Calculated HEFT_DNC]]/Tabla13[[#This Row],[Real HEFT_DNC]]</f>
        <v>0.99999034721082658</v>
      </c>
      <c r="AG117" s="6">
        <f>Tabla13[[#This Row],[Calculated GA_NC]]/Tabla13[[#This Row],[Real GA_NC]]</f>
        <v>0.88468391941851598</v>
      </c>
      <c r="AH117" s="6">
        <f>Tabla13[[#This Row],[Calculated GA_DNC]]/Tabla13[[#This Row],[Real GA_DNC]]</f>
        <v>0.99999034721082658</v>
      </c>
      <c r="AI117" s="6">
        <f>Tabla13[[#This Row],[Calculated HGA_(Ph2)]]/Tabla13[[#This Row],[Real HGA_(Ph2)]]</f>
        <v>0.99999034721082658</v>
      </c>
      <c r="AJ117" s="6">
        <f>Tabla13[[#This Row],[Calculated HGA_(Ph1)]]/Tabla13[[#This Row],[Real HGA_(Ph1)]]</f>
        <v>0.99999034721082658</v>
      </c>
      <c r="AK117" s="6">
        <f>Tabla13[[#This Row],[Calculated HGA^H]]/Tabla13[[#This Row],[Real GA^H]]</f>
        <v>0.99999034721082658</v>
      </c>
      <c r="AL117" s="6">
        <f>Tabla13[[#This Row],[Calculated HGA_(Ph2)^H]]/Tabla13[[#This Row],[Real HGA_(Ph2)^H]]</f>
        <v>0.99999034721082658</v>
      </c>
      <c r="AM117" s="6">
        <f>Tabla13[[#This Row],[Calculated HGA_(Ph1)^H]]/Tabla13[[#This Row],[Real HGA_(Ph1)^H]]</f>
        <v>0.99999034721082658</v>
      </c>
    </row>
    <row r="118" spans="1:39">
      <c r="A118" s="6" t="str">
        <f t="shared" si="27"/>
        <v>soykb</v>
      </c>
      <c r="B118" t="s">
        <v>25</v>
      </c>
      <c r="C118">
        <f>_xlfn.XLOOKUP(B118,Instances!$B$2:$B$29,Instances!$A$2:$A$29,,0,1)</f>
        <v>546</v>
      </c>
      <c r="D118">
        <v>2</v>
      </c>
      <c r="E118">
        <v>63989</v>
      </c>
      <c r="F118">
        <v>63928.5</v>
      </c>
      <c r="G118">
        <v>64185.98</v>
      </c>
      <c r="H118">
        <v>64080.37000000001</v>
      </c>
      <c r="I118">
        <v>63913.19</v>
      </c>
      <c r="J118">
        <v>64130.31</v>
      </c>
      <c r="K118">
        <v>63912.9</v>
      </c>
      <c r="L118">
        <v>63912.959999999999</v>
      </c>
      <c r="M118">
        <v>63920.810000000012</v>
      </c>
      <c r="N118" s="7">
        <f t="shared" si="28"/>
        <v>9.4547500351622939E-4</v>
      </c>
      <c r="O118" s="1">
        <f t="shared" si="29"/>
        <v>-3.0783415899608246E-3</v>
      </c>
      <c r="P118" s="1">
        <f t="shared" si="30"/>
        <v>-1.4279016705997889E-3</v>
      </c>
      <c r="Q118" s="1">
        <f t="shared" si="31"/>
        <v>1.1847348763068288E-3</v>
      </c>
      <c r="R118" s="1">
        <f t="shared" si="32"/>
        <v>-2.2083483098657218E-3</v>
      </c>
      <c r="S118" s="1">
        <f t="shared" si="33"/>
        <v>1.1892669052493169E-3</v>
      </c>
      <c r="T118" s="1">
        <f t="shared" si="34"/>
        <v>1.1883292440888415E-3</v>
      </c>
      <c r="U118" s="1">
        <f t="shared" si="35"/>
        <v>1.0656519089216549E-3</v>
      </c>
      <c r="V118">
        <v>58238.400000000001</v>
      </c>
      <c r="W118">
        <v>63927.6</v>
      </c>
      <c r="X118">
        <v>58360.19</v>
      </c>
      <c r="Y118">
        <v>64079.21</v>
      </c>
      <c r="Z118">
        <v>63912.060000000012</v>
      </c>
      <c r="AA118">
        <v>64129.179999999993</v>
      </c>
      <c r="AB118">
        <v>63911.80000000001</v>
      </c>
      <c r="AC118">
        <v>63911.80000000001</v>
      </c>
      <c r="AD118">
        <v>63919.780000000013</v>
      </c>
      <c r="AE118" s="6">
        <f>Tabla13[[#This Row],[Calculated HEFT_NC]]/Tabla13[[#This Row],[Real HEFT_NC]]</f>
        <v>0.91013142883933174</v>
      </c>
      <c r="AF118" s="6">
        <f>Tabla13[[#This Row],[Calculated HEFT_DNC]]/Tabla13[[#This Row],[Real HEFT_DNC]]</f>
        <v>0.99998592177197965</v>
      </c>
      <c r="AG118" s="6">
        <f>Tabla13[[#This Row],[Calculated GA_NC]]/Tabla13[[#This Row],[Real GA_NC]]</f>
        <v>0.90923578638201052</v>
      </c>
      <c r="AH118" s="6">
        <f>Tabla13[[#This Row],[Calculated GA_DNC]]/Tabla13[[#This Row],[Real GA_DNC]]</f>
        <v>0.99998189773248791</v>
      </c>
      <c r="AI118" s="6">
        <f>Tabla13[[#This Row],[Calculated HGA_(Ph2)]]/Tabla13[[#This Row],[Real HGA_(Ph2)]]</f>
        <v>0.99998231976842356</v>
      </c>
      <c r="AJ118" s="6">
        <f>Tabla13[[#This Row],[Calculated HGA_(Ph1)]]/Tabla13[[#This Row],[Real HGA_(Ph1)]]</f>
        <v>0.99998237962673187</v>
      </c>
      <c r="AK118" s="6">
        <f>Tabla13[[#This Row],[Calculated HGA^H]]/Tabla13[[#This Row],[Real GA^H]]</f>
        <v>0.99998278907700966</v>
      </c>
      <c r="AL118" s="6">
        <f>Tabla13[[#This Row],[Calculated HGA_(Ph2)^H]]/Tabla13[[#This Row],[Real HGA_(Ph2)^H]]</f>
        <v>0.9999818503164305</v>
      </c>
      <c r="AM118" s="6">
        <f>Tabla13[[#This Row],[Calculated HGA_(Ph1)^H]]/Tabla13[[#This Row],[Real HGA_(Ph1)^H]]</f>
        <v>0.99998388631182866</v>
      </c>
    </row>
    <row r="119" spans="1:39">
      <c r="A119" s="6" t="str">
        <f t="shared" si="27"/>
        <v>soykb</v>
      </c>
      <c r="B119" t="s">
        <v>25</v>
      </c>
      <c r="C119">
        <f>_xlfn.XLOOKUP(B119,Instances!$B$2:$B$29,Instances!$A$2:$A$29,,0,1)</f>
        <v>546</v>
      </c>
      <c r="D119">
        <v>4</v>
      </c>
      <c r="E119">
        <v>48007.6</v>
      </c>
      <c r="F119">
        <v>47936.7</v>
      </c>
      <c r="G119">
        <v>48091.85</v>
      </c>
      <c r="H119">
        <v>47974.66</v>
      </c>
      <c r="I119">
        <v>47938.37</v>
      </c>
      <c r="J119">
        <v>48023.08</v>
      </c>
      <c r="K119">
        <v>47936.68</v>
      </c>
      <c r="L119">
        <v>47936.09</v>
      </c>
      <c r="M119">
        <v>47936.7</v>
      </c>
      <c r="N119" s="7">
        <f t="shared" si="28"/>
        <v>1.4768494988293824E-3</v>
      </c>
      <c r="O119" s="1">
        <f t="shared" si="29"/>
        <v>-1.7549304693423541E-3</v>
      </c>
      <c r="P119" s="1">
        <f t="shared" si="30"/>
        <v>6.8614136095107971E-4</v>
      </c>
      <c r="Q119" s="1">
        <f t="shared" si="31"/>
        <v>1.4420633399710864E-3</v>
      </c>
      <c r="R119" s="1">
        <f t="shared" si="32"/>
        <v>-3.2244894558368262E-4</v>
      </c>
      <c r="S119" s="1">
        <f t="shared" si="33"/>
        <v>1.4772660995342041E-3</v>
      </c>
      <c r="T119" s="1">
        <f t="shared" si="34"/>
        <v>1.4895558203284905E-3</v>
      </c>
      <c r="U119" s="1">
        <f t="shared" si="35"/>
        <v>1.4768494988293824E-3</v>
      </c>
      <c r="V119">
        <v>45083.8</v>
      </c>
      <c r="W119">
        <v>47935.7</v>
      </c>
      <c r="X119">
        <v>45116.639999999999</v>
      </c>
      <c r="Y119">
        <v>47973.74</v>
      </c>
      <c r="Z119">
        <v>47937.440000000002</v>
      </c>
      <c r="AA119">
        <v>48022.29</v>
      </c>
      <c r="AB119">
        <v>47935.69</v>
      </c>
      <c r="AC119">
        <v>47935.13</v>
      </c>
      <c r="AD119">
        <v>47935.7</v>
      </c>
      <c r="AE119" s="6">
        <f>Tabla13[[#This Row],[Calculated HEFT_NC]]/Tabla13[[#This Row],[Real HEFT_NC]]</f>
        <v>0.93909714295236602</v>
      </c>
      <c r="AF119" s="6">
        <f>Tabla13[[#This Row],[Calculated HEFT_DNC]]/Tabla13[[#This Row],[Real HEFT_DNC]]</f>
        <v>0.99997913915642922</v>
      </c>
      <c r="AG119" s="6">
        <f>Tabla13[[#This Row],[Calculated GA_NC]]/Tabla13[[#This Row],[Real GA_NC]]</f>
        <v>0.93813483989490942</v>
      </c>
      <c r="AH119" s="6">
        <f>Tabla13[[#This Row],[Calculated GA_DNC]]/Tabla13[[#This Row],[Real GA_DNC]]</f>
        <v>0.99998082320958592</v>
      </c>
      <c r="AI119" s="6">
        <f>Tabla13[[#This Row],[Calculated HGA_(Ph2)]]/Tabla13[[#This Row],[Real HGA_(Ph2)]]</f>
        <v>0.99998060009132561</v>
      </c>
      <c r="AJ119" s="6">
        <f>Tabla13[[#This Row],[Calculated HGA_(Ph1)]]/Tabla13[[#This Row],[Real HGA_(Ph1)]]</f>
        <v>0.99998354957657853</v>
      </c>
      <c r="AK119" s="6">
        <f>Tabla13[[#This Row],[Calculated HGA^H]]/Tabla13[[#This Row],[Real GA^H]]</f>
        <v>0.99997934775624853</v>
      </c>
      <c r="AL119" s="6">
        <f>Tabla13[[#This Row],[Calculated HGA_(Ph2)^H]]/Tabla13[[#This Row],[Real HGA_(Ph2)^H]]</f>
        <v>0.99997997333533051</v>
      </c>
      <c r="AM119" s="6">
        <f>Tabla13[[#This Row],[Calculated HGA_(Ph1)^H]]/Tabla13[[#This Row],[Real HGA_(Ph1)^H]]</f>
        <v>0.99997913915642922</v>
      </c>
    </row>
    <row r="120" spans="1:39">
      <c r="A120" s="6" t="str">
        <f t="shared" si="27"/>
        <v>soykb</v>
      </c>
      <c r="B120" t="s">
        <v>25</v>
      </c>
      <c r="C120">
        <f>_xlfn.XLOOKUP(B120,Instances!$B$2:$B$29,Instances!$A$2:$A$29,,0,1)</f>
        <v>546</v>
      </c>
      <c r="D120">
        <v>8</v>
      </c>
      <c r="E120">
        <v>39981.1</v>
      </c>
      <c r="F120">
        <v>39951.300000000003</v>
      </c>
      <c r="G120">
        <v>40222.1</v>
      </c>
      <c r="H120">
        <v>40118.21</v>
      </c>
      <c r="I120">
        <v>39959.029999999992</v>
      </c>
      <c r="J120">
        <v>40129.629999999997</v>
      </c>
      <c r="K120">
        <v>39951.279999999999</v>
      </c>
      <c r="L120">
        <v>39947.81</v>
      </c>
      <c r="M120">
        <v>39951.300000000003</v>
      </c>
      <c r="N120" s="7">
        <f t="shared" si="28"/>
        <v>7.4535217890442319E-4</v>
      </c>
      <c r="O120" s="1">
        <f t="shared" si="29"/>
        <v>-6.0278481582547753E-3</v>
      </c>
      <c r="P120" s="1">
        <f t="shared" si="30"/>
        <v>-3.429370377503385E-3</v>
      </c>
      <c r="Q120" s="1">
        <f t="shared" si="31"/>
        <v>5.5201082511504153E-4</v>
      </c>
      <c r="R120" s="1">
        <f t="shared" si="32"/>
        <v>-3.715005340023132E-3</v>
      </c>
      <c r="S120" s="1">
        <f t="shared" si="33"/>
        <v>7.4585241526620605E-4</v>
      </c>
      <c r="T120" s="1">
        <f t="shared" si="34"/>
        <v>8.3264342401787028E-4</v>
      </c>
      <c r="U120" s="1">
        <f t="shared" si="35"/>
        <v>7.4535217890442319E-4</v>
      </c>
      <c r="V120">
        <v>38512.099999999991</v>
      </c>
      <c r="W120">
        <v>39950.5</v>
      </c>
      <c r="X120">
        <v>38647.699999999997</v>
      </c>
      <c r="Y120">
        <v>40117.490000000013</v>
      </c>
      <c r="Z120">
        <v>39958.300000000003</v>
      </c>
      <c r="AA120">
        <v>40129.030000000013</v>
      </c>
      <c r="AB120">
        <v>39950.480000000003</v>
      </c>
      <c r="AC120">
        <v>39946.990000000013</v>
      </c>
      <c r="AD120">
        <v>39950.5</v>
      </c>
      <c r="AE120" s="6">
        <f>Tabla13[[#This Row],[Calculated HEFT_NC]]/Tabla13[[#This Row],[Real HEFT_NC]]</f>
        <v>0.96325763923453811</v>
      </c>
      <c r="AF120" s="6">
        <f>Tabla13[[#This Row],[Calculated HEFT_DNC]]/Tabla13[[#This Row],[Real HEFT_DNC]]</f>
        <v>0.99997997562031771</v>
      </c>
      <c r="AG120" s="6">
        <f>Tabla13[[#This Row],[Calculated GA_NC]]/Tabla13[[#This Row],[Real GA_NC]]</f>
        <v>0.96085733962175024</v>
      </c>
      <c r="AH120" s="6">
        <f>Tabla13[[#This Row],[Calculated GA_DNC]]/Tabla13[[#This Row],[Real GA_DNC]]</f>
        <v>0.99998205303776044</v>
      </c>
      <c r="AI120" s="6">
        <f>Tabla13[[#This Row],[Calculated HGA_(Ph2)]]/Tabla13[[#This Row],[Real HGA_(Ph2)]]</f>
        <v>0.99998173128827228</v>
      </c>
      <c r="AJ120" s="6">
        <f>Tabla13[[#This Row],[Calculated HGA_(Ph1)]]/Tabla13[[#This Row],[Real HGA_(Ph1)]]</f>
        <v>0.99998504845422242</v>
      </c>
      <c r="AK120" s="6">
        <f>Tabla13[[#This Row],[Calculated HGA^H]]/Tabla13[[#This Row],[Real GA^H]]</f>
        <v>0.99997997561029339</v>
      </c>
      <c r="AL120" s="6">
        <f>Tabla13[[#This Row],[Calculated HGA_(Ph2)^H]]/Tabla13[[#This Row],[Real HGA_(Ph2)^H]]</f>
        <v>0.9999794732176811</v>
      </c>
      <c r="AM120" s="6">
        <f>Tabla13[[#This Row],[Calculated HGA_(Ph1)^H]]/Tabla13[[#This Row],[Real HGA_(Ph1)^H]]</f>
        <v>0.99997997562031771</v>
      </c>
    </row>
    <row r="121" spans="1:39">
      <c r="A121" s="6" t="str">
        <f t="shared" si="27"/>
        <v>soykb</v>
      </c>
      <c r="B121" t="s">
        <v>25</v>
      </c>
      <c r="C121">
        <f>_xlfn.XLOOKUP(B121,Instances!$B$2:$B$29,Instances!$A$2:$A$29,,0,1)</f>
        <v>546</v>
      </c>
      <c r="D121">
        <v>16</v>
      </c>
      <c r="E121">
        <v>35987.699999999997</v>
      </c>
      <c r="F121">
        <v>35956.9</v>
      </c>
      <c r="G121">
        <v>36382.86</v>
      </c>
      <c r="H121">
        <v>36309.22</v>
      </c>
      <c r="I121">
        <v>35966.480000000003</v>
      </c>
      <c r="J121">
        <v>36279.5</v>
      </c>
      <c r="K121">
        <v>35956.879999999997</v>
      </c>
      <c r="L121">
        <v>35953.699999999997</v>
      </c>
      <c r="M121">
        <v>35956.900000000009</v>
      </c>
      <c r="N121" s="7">
        <f t="shared" si="28"/>
        <v>8.5584797027861285E-4</v>
      </c>
      <c r="O121" s="1">
        <f t="shared" si="29"/>
        <v>-1.0980418309589207E-2</v>
      </c>
      <c r="P121" s="1">
        <f t="shared" si="30"/>
        <v>-8.9341636170137042E-3</v>
      </c>
      <c r="Q121" s="1">
        <f t="shared" si="31"/>
        <v>5.8964590679576323E-4</v>
      </c>
      <c r="R121" s="1">
        <f t="shared" si="32"/>
        <v>-8.1083259002382186E-3</v>
      </c>
      <c r="S121" s="1">
        <f t="shared" si="33"/>
        <v>8.5640371571397208E-4</v>
      </c>
      <c r="T121" s="1">
        <f t="shared" si="34"/>
        <v>9.4476723991808323E-4</v>
      </c>
      <c r="U121" s="1">
        <f t="shared" si="35"/>
        <v>8.5584797027841075E-4</v>
      </c>
      <c r="V121">
        <v>35224.900000000009</v>
      </c>
      <c r="W121">
        <v>35956.199999999997</v>
      </c>
      <c r="X121">
        <v>35525.230000000003</v>
      </c>
      <c r="Y121">
        <v>36308.65</v>
      </c>
      <c r="Z121">
        <v>35965.85</v>
      </c>
      <c r="AA121">
        <v>36279.03</v>
      </c>
      <c r="AB121">
        <v>35956.199999999997</v>
      </c>
      <c r="AC121">
        <v>35952.99</v>
      </c>
      <c r="AD121">
        <v>35956.199999999997</v>
      </c>
      <c r="AE121" s="6">
        <f>Tabla13[[#This Row],[Calculated HEFT_NC]]/Tabla13[[#This Row],[Real HEFT_NC]]</f>
        <v>0.9788038690997205</v>
      </c>
      <c r="AF121" s="6">
        <f>Tabla13[[#This Row],[Calculated HEFT_DNC]]/Tabla13[[#This Row],[Real HEFT_DNC]]</f>
        <v>0.9999805322483305</v>
      </c>
      <c r="AG121" s="6">
        <f>Tabla13[[#This Row],[Calculated GA_NC]]/Tabla13[[#This Row],[Real GA_NC]]</f>
        <v>0.97642763652994846</v>
      </c>
      <c r="AH121" s="6">
        <f>Tabla13[[#This Row],[Calculated GA_DNC]]/Tabla13[[#This Row],[Real GA_DNC]]</f>
        <v>0.99998430150799167</v>
      </c>
      <c r="AI121" s="6">
        <f>Tabla13[[#This Row],[Calculated HGA_(Ph2)]]/Tabla13[[#This Row],[Real HGA_(Ph2)]]</f>
        <v>0.99998248369036935</v>
      </c>
      <c r="AJ121" s="6">
        <f>Tabla13[[#This Row],[Calculated HGA_(Ph1)]]/Tabla13[[#This Row],[Real HGA_(Ph1)]]</f>
        <v>0.99998704502542757</v>
      </c>
      <c r="AK121" s="6">
        <f>Tabla13[[#This Row],[Calculated HGA^H]]/Tabla13[[#This Row],[Real GA^H]]</f>
        <v>0.9999810884592879</v>
      </c>
      <c r="AL121" s="6">
        <f>Tabla13[[#This Row],[Calculated HGA_(Ph2)^H]]/Tabla13[[#This Row],[Real HGA_(Ph2)^H]]</f>
        <v>0.99998025238014454</v>
      </c>
      <c r="AM121" s="6">
        <f>Tabla13[[#This Row],[Calculated HGA_(Ph1)^H]]/Tabla13[[#This Row],[Real HGA_(Ph1)^H]]</f>
        <v>0.99998053224833028</v>
      </c>
    </row>
    <row r="122" spans="1:39">
      <c r="A122" s="6" t="str">
        <f t="shared" si="27"/>
        <v>srasearch</v>
      </c>
      <c r="B122" t="s">
        <v>26</v>
      </c>
      <c r="C122">
        <f>_xlfn.XLOOKUP(B122,Instances!$B$2:$B$29,Instances!$A$2:$A$29,,0,1)</f>
        <v>22</v>
      </c>
      <c r="D122">
        <v>1</v>
      </c>
      <c r="E122">
        <v>6327.0899999999992</v>
      </c>
      <c r="F122">
        <v>6327.0899999999992</v>
      </c>
      <c r="G122">
        <v>6327.0899999999992</v>
      </c>
      <c r="H122">
        <v>6327.0899999999992</v>
      </c>
      <c r="I122">
        <v>6327.0899999999992</v>
      </c>
      <c r="J122">
        <v>6327.0899999999992</v>
      </c>
      <c r="K122">
        <v>6327.0899999999992</v>
      </c>
      <c r="L122">
        <v>6327.0899999999992</v>
      </c>
      <c r="M122">
        <v>6327.0899999999992</v>
      </c>
      <c r="N122" s="7">
        <f t="shared" si="28"/>
        <v>0</v>
      </c>
      <c r="O122" s="1">
        <f t="shared" si="29"/>
        <v>0</v>
      </c>
      <c r="P122" s="1">
        <f t="shared" si="30"/>
        <v>0</v>
      </c>
      <c r="Q122" s="1">
        <f t="shared" si="31"/>
        <v>0</v>
      </c>
      <c r="R122" s="1">
        <f t="shared" si="32"/>
        <v>0</v>
      </c>
      <c r="S122" s="1">
        <f t="shared" si="33"/>
        <v>0</v>
      </c>
      <c r="T122" s="1">
        <f t="shared" si="34"/>
        <v>0</v>
      </c>
      <c r="U122" s="1">
        <f t="shared" si="35"/>
        <v>0</v>
      </c>
      <c r="V122">
        <v>6039.3000000000011</v>
      </c>
      <c r="W122">
        <v>6327.0500000000011</v>
      </c>
      <c r="X122">
        <v>6039.3000000000011</v>
      </c>
      <c r="Y122">
        <v>6327.0500000000011</v>
      </c>
      <c r="Z122">
        <v>6327.0500000000011</v>
      </c>
      <c r="AA122">
        <v>6327.0500000000011</v>
      </c>
      <c r="AB122">
        <v>6327.0500000000011</v>
      </c>
      <c r="AC122">
        <v>6327.0500000000011</v>
      </c>
      <c r="AD122">
        <v>6327.0500000000011</v>
      </c>
      <c r="AE122" s="6">
        <f>Tabla13[[#This Row],[Calculated HEFT_NC]]/Tabla13[[#This Row],[Real HEFT_NC]]</f>
        <v>0.9545146346898814</v>
      </c>
      <c r="AF122" s="6">
        <f>Tabla13[[#This Row],[Calculated HEFT_DNC]]/Tabla13[[#This Row],[Real HEFT_DNC]]</f>
        <v>0.99999367797834415</v>
      </c>
      <c r="AG122" s="6">
        <f>Tabla13[[#This Row],[Calculated GA_NC]]/Tabla13[[#This Row],[Real GA_NC]]</f>
        <v>0.9545146346898814</v>
      </c>
      <c r="AH122" s="6">
        <f>Tabla13[[#This Row],[Calculated GA_DNC]]/Tabla13[[#This Row],[Real GA_DNC]]</f>
        <v>0.99999367797834415</v>
      </c>
      <c r="AI122" s="6">
        <f>Tabla13[[#This Row],[Calculated HGA_(Ph2)]]/Tabla13[[#This Row],[Real HGA_(Ph2)]]</f>
        <v>0.99999367797834415</v>
      </c>
      <c r="AJ122" s="6">
        <f>Tabla13[[#This Row],[Calculated HGA_(Ph1)]]/Tabla13[[#This Row],[Real HGA_(Ph1)]]</f>
        <v>0.99999367797834415</v>
      </c>
      <c r="AK122" s="6">
        <f>Tabla13[[#This Row],[Calculated HGA^H]]/Tabla13[[#This Row],[Real GA^H]]</f>
        <v>0.99999367797834415</v>
      </c>
      <c r="AL122" s="6">
        <f>Tabla13[[#This Row],[Calculated HGA_(Ph2)^H]]/Tabla13[[#This Row],[Real HGA_(Ph2)^H]]</f>
        <v>0.99999367797834415</v>
      </c>
      <c r="AM122" s="6">
        <f>Tabla13[[#This Row],[Calculated HGA_(Ph1)^H]]/Tabla13[[#This Row],[Real HGA_(Ph1)^H]]</f>
        <v>0.99999367797834415</v>
      </c>
    </row>
    <row r="123" spans="1:39">
      <c r="A123" s="6" t="str">
        <f t="shared" si="27"/>
        <v>srasearch</v>
      </c>
      <c r="B123" t="s">
        <v>26</v>
      </c>
      <c r="C123">
        <f>_xlfn.XLOOKUP(B123,Instances!$B$2:$B$29,Instances!$A$2:$A$29,,0,1)</f>
        <v>22</v>
      </c>
      <c r="D123">
        <v>2</v>
      </c>
      <c r="E123">
        <v>3182.79</v>
      </c>
      <c r="F123">
        <v>3165.07</v>
      </c>
      <c r="G123">
        <v>3188.797</v>
      </c>
      <c r="H123">
        <v>3170.7710000000002</v>
      </c>
      <c r="I123">
        <v>3179.9830000000002</v>
      </c>
      <c r="J123">
        <v>3174.4270000000001</v>
      </c>
      <c r="K123">
        <v>3174.2289999999989</v>
      </c>
      <c r="L123">
        <v>3182.7269999999999</v>
      </c>
      <c r="M123">
        <v>3172.3739999999998</v>
      </c>
      <c r="N123" s="7">
        <f t="shared" si="28"/>
        <v>5.5674424011636957E-3</v>
      </c>
      <c r="O123" s="1">
        <f t="shared" si="29"/>
        <v>-1.8873378388143929E-3</v>
      </c>
      <c r="P123" s="1">
        <f t="shared" si="30"/>
        <v>3.776246626387471E-3</v>
      </c>
      <c r="Q123" s="1">
        <f t="shared" si="31"/>
        <v>8.8193063318654048E-4</v>
      </c>
      <c r="R123" s="1">
        <f t="shared" si="32"/>
        <v>2.6275688939577631E-3</v>
      </c>
      <c r="S123" s="1">
        <f t="shared" si="33"/>
        <v>2.6897784648063677E-3</v>
      </c>
      <c r="T123" s="1">
        <f t="shared" si="34"/>
        <v>1.9793954360828664E-5</v>
      </c>
      <c r="U123" s="1">
        <f t="shared" si="35"/>
        <v>3.2726004543184336E-3</v>
      </c>
      <c r="V123">
        <v>3026.96</v>
      </c>
      <c r="W123">
        <v>3164.69</v>
      </c>
      <c r="X123">
        <v>3019.777</v>
      </c>
      <c r="Y123">
        <v>3163.6390000000001</v>
      </c>
      <c r="Z123">
        <v>3163.59</v>
      </c>
      <c r="AA123">
        <v>3163.7089999999998</v>
      </c>
      <c r="AB123">
        <v>3163.6390000000001</v>
      </c>
      <c r="AC123">
        <v>3163.59</v>
      </c>
      <c r="AD123">
        <v>3163.7440000000001</v>
      </c>
      <c r="AE123" s="6">
        <f>Tabla13[[#This Row],[Calculated HEFT_NC]]/Tabla13[[#This Row],[Real HEFT_NC]]</f>
        <v>0.95103981098344537</v>
      </c>
      <c r="AF123" s="6">
        <f>Tabla13[[#This Row],[Calculated HEFT_DNC]]/Tabla13[[#This Row],[Real HEFT_DNC]]</f>
        <v>0.99987993946421405</v>
      </c>
      <c r="AG123" s="6">
        <f>Tabla13[[#This Row],[Calculated GA_NC]]/Tabla13[[#This Row],[Real GA_NC]]</f>
        <v>0.94699568520667821</v>
      </c>
      <c r="AH123" s="6">
        <f>Tabla13[[#This Row],[Calculated GA_DNC]]/Tabla13[[#This Row],[Real GA_DNC]]</f>
        <v>0.9977507047970352</v>
      </c>
      <c r="AI123" s="6">
        <f>Tabla13[[#This Row],[Calculated HGA_(Ph2)]]/Tabla13[[#This Row],[Real HGA_(Ph2)]]</f>
        <v>0.99484494099496756</v>
      </c>
      <c r="AJ123" s="6">
        <f>Tabla13[[#This Row],[Calculated HGA_(Ph1)]]/Tabla13[[#This Row],[Real HGA_(Ph1)]]</f>
        <v>0.99662364262904757</v>
      </c>
      <c r="AK123" s="6">
        <f>Tabla13[[#This Row],[Calculated HGA^H]]/Tabla13[[#This Row],[Real GA^H]]</f>
        <v>0.99666375677369257</v>
      </c>
      <c r="AL123" s="6">
        <f>Tabla13[[#This Row],[Calculated HGA_(Ph2)^H]]/Tabla13[[#This Row],[Real HGA_(Ph2)^H]]</f>
        <v>0.99398723170413306</v>
      </c>
      <c r="AM123" s="6">
        <f>Tabla13[[#This Row],[Calculated HGA_(Ph1)^H]]/Tabla13[[#This Row],[Real HGA_(Ph1)^H]]</f>
        <v>0.99727963979026446</v>
      </c>
    </row>
    <row r="124" spans="1:39">
      <c r="A124" s="6" t="str">
        <f t="shared" si="27"/>
        <v>srasearch</v>
      </c>
      <c r="B124" t="s">
        <v>26</v>
      </c>
      <c r="C124">
        <f>_xlfn.XLOOKUP(B124,Instances!$B$2:$B$29,Instances!$A$2:$A$29,,0,1)</f>
        <v>22</v>
      </c>
      <c r="D124">
        <v>4</v>
      </c>
      <c r="E124">
        <v>1667.35</v>
      </c>
      <c r="F124">
        <v>1667.35</v>
      </c>
      <c r="G124">
        <v>1638.6410000000001</v>
      </c>
      <c r="H124">
        <v>1598.7149999999999</v>
      </c>
      <c r="I124">
        <v>1604.472</v>
      </c>
      <c r="J124">
        <v>1625.0709999999999</v>
      </c>
      <c r="K124">
        <v>1607.3019999999999</v>
      </c>
      <c r="L124">
        <v>1598.998</v>
      </c>
      <c r="M124">
        <v>1624.4349999999999</v>
      </c>
      <c r="N124" s="7">
        <f t="shared" si="28"/>
        <v>0</v>
      </c>
      <c r="O124" s="1">
        <f t="shared" si="29"/>
        <v>1.7218340480402935E-2</v>
      </c>
      <c r="P124" s="1">
        <f t="shared" si="30"/>
        <v>4.1164122709689027E-2</v>
      </c>
      <c r="Q124" s="1">
        <f t="shared" si="31"/>
        <v>3.7711338351275936E-2</v>
      </c>
      <c r="R124" s="1">
        <f t="shared" si="32"/>
        <v>2.5357003628512308E-2</v>
      </c>
      <c r="S124" s="1">
        <f t="shared" si="33"/>
        <v>3.6014034245959163E-2</v>
      </c>
      <c r="T124" s="1">
        <f t="shared" si="34"/>
        <v>4.0994392299157266E-2</v>
      </c>
      <c r="U124" s="1">
        <f t="shared" si="35"/>
        <v>2.5738447236632961E-2</v>
      </c>
      <c r="V124">
        <v>1629.61</v>
      </c>
      <c r="W124">
        <v>1667.09</v>
      </c>
      <c r="X124">
        <v>1535.73</v>
      </c>
      <c r="Y124">
        <v>1591.8630000000001</v>
      </c>
      <c r="Z124">
        <v>1583.3820000000001</v>
      </c>
      <c r="AA124">
        <v>1618.943</v>
      </c>
      <c r="AB124">
        <v>1596.598</v>
      </c>
      <c r="AC124">
        <v>1582.9059999999999</v>
      </c>
      <c r="AD124">
        <v>1622.008</v>
      </c>
      <c r="AE124" s="6">
        <f>Tabla13[[#This Row],[Calculated HEFT_NC]]/Tabla13[[#This Row],[Real HEFT_NC]]</f>
        <v>0.97736528023510361</v>
      </c>
      <c r="AF124" s="6">
        <f>Tabla13[[#This Row],[Calculated HEFT_DNC]]/Tabla13[[#This Row],[Real HEFT_DNC]]</f>
        <v>0.99984406393378711</v>
      </c>
      <c r="AG124" s="6">
        <f>Tabla13[[#This Row],[Calculated GA_NC]]/Tabla13[[#This Row],[Real GA_NC]]</f>
        <v>0.9371973482904431</v>
      </c>
      <c r="AH124" s="6">
        <f>Tabla13[[#This Row],[Calculated GA_DNC]]/Tabla13[[#This Row],[Real GA_DNC]]</f>
        <v>0.99571405785271305</v>
      </c>
      <c r="AI124" s="6">
        <f>Tabla13[[#This Row],[Calculated HGA_(Ph2)]]/Tabla13[[#This Row],[Real HGA_(Ph2)]]</f>
        <v>0.98685548890850083</v>
      </c>
      <c r="AJ124" s="6">
        <f>Tabla13[[#This Row],[Calculated HGA_(Ph1)]]/Tabla13[[#This Row],[Real HGA_(Ph1)]]</f>
        <v>0.99622908783677766</v>
      </c>
      <c r="AK124" s="6">
        <f>Tabla13[[#This Row],[Calculated HGA^H]]/Tabla13[[#This Row],[Real GA^H]]</f>
        <v>0.99334039278243913</v>
      </c>
      <c r="AL124" s="6">
        <f>Tabla13[[#This Row],[Calculated HGA_(Ph2)^H]]/Tabla13[[#This Row],[Real HGA_(Ph2)^H]]</f>
        <v>0.98993619754371165</v>
      </c>
      <c r="AM124" s="6">
        <f>Tabla13[[#This Row],[Calculated HGA_(Ph1)^H]]/Tabla13[[#This Row],[Real HGA_(Ph1)^H]]</f>
        <v>0.99850594206601073</v>
      </c>
    </row>
    <row r="125" spans="1:39">
      <c r="A125" s="6" t="str">
        <f t="shared" si="27"/>
        <v>srasearch</v>
      </c>
      <c r="B125" t="s">
        <v>26</v>
      </c>
      <c r="C125">
        <f>_xlfn.XLOOKUP(B125,Instances!$B$2:$B$29,Instances!$A$2:$A$29,,0,1)</f>
        <v>22</v>
      </c>
      <c r="D125">
        <v>8</v>
      </c>
      <c r="E125">
        <v>959.90500000000009</v>
      </c>
      <c r="F125">
        <v>959.90500000000009</v>
      </c>
      <c r="G125">
        <v>974.57489999999996</v>
      </c>
      <c r="H125">
        <v>974.78150000000005</v>
      </c>
      <c r="I125">
        <v>959.90500000000009</v>
      </c>
      <c r="J125">
        <v>963.85840000000007</v>
      </c>
      <c r="K125">
        <v>960.56280000000004</v>
      </c>
      <c r="L125">
        <v>959.90500000000009</v>
      </c>
      <c r="M125">
        <v>965.22199999999998</v>
      </c>
      <c r="N125" s="7">
        <f t="shared" si="28"/>
        <v>0</v>
      </c>
      <c r="O125" s="1">
        <f t="shared" si="29"/>
        <v>-1.5282658179715565E-2</v>
      </c>
      <c r="P125" s="1">
        <f t="shared" si="30"/>
        <v>-1.5497887811814673E-2</v>
      </c>
      <c r="Q125" s="1">
        <f t="shared" si="31"/>
        <v>0</v>
      </c>
      <c r="R125" s="1">
        <f t="shared" si="32"/>
        <v>-4.1185325631182121E-3</v>
      </c>
      <c r="S125" s="1">
        <f t="shared" si="33"/>
        <v>-6.8527614711867517E-4</v>
      </c>
      <c r="T125" s="1">
        <f t="shared" si="34"/>
        <v>0</v>
      </c>
      <c r="U125" s="1">
        <f t="shared" si="35"/>
        <v>-5.5390898057619169E-3</v>
      </c>
      <c r="V125">
        <v>940.51200000000006</v>
      </c>
      <c r="W125">
        <v>959.6450000000001</v>
      </c>
      <c r="X125">
        <v>942.75600000000009</v>
      </c>
      <c r="Y125">
        <v>974.52150000000006</v>
      </c>
      <c r="Z125">
        <v>959.6450000000001</v>
      </c>
      <c r="AA125">
        <v>959.6450000000001</v>
      </c>
      <c r="AB125">
        <v>959.6450000000001</v>
      </c>
      <c r="AC125">
        <v>959.6450000000001</v>
      </c>
      <c r="AD125">
        <v>959.6450000000001</v>
      </c>
      <c r="AE125" s="6">
        <f>Tabla13[[#This Row],[Calculated HEFT_NC]]/Tabla13[[#This Row],[Real HEFT_NC]]</f>
        <v>0.97979695907407505</v>
      </c>
      <c r="AF125" s="6">
        <f>Tabla13[[#This Row],[Calculated HEFT_DNC]]/Tabla13[[#This Row],[Real HEFT_DNC]]</f>
        <v>0.99972913986279899</v>
      </c>
      <c r="AG125" s="6">
        <f>Tabla13[[#This Row],[Calculated GA_NC]]/Tabla13[[#This Row],[Real GA_NC]]</f>
        <v>0.96735099580340123</v>
      </c>
      <c r="AH125" s="6">
        <f>Tabla13[[#This Row],[Calculated GA_DNC]]/Tabla13[[#This Row],[Real GA_DNC]]</f>
        <v>0.99973327355925401</v>
      </c>
      <c r="AI125" s="6">
        <f>Tabla13[[#This Row],[Calculated HGA_(Ph2)]]/Tabla13[[#This Row],[Real HGA_(Ph2)]]</f>
        <v>0.99972913986279899</v>
      </c>
      <c r="AJ125" s="6">
        <f>Tabla13[[#This Row],[Calculated HGA_(Ph1)]]/Tabla13[[#This Row],[Real HGA_(Ph1)]]</f>
        <v>0.99562861100759203</v>
      </c>
      <c r="AK125" s="6">
        <f>Tabla13[[#This Row],[Calculated HGA^H]]/Tabla13[[#This Row],[Real GA^H]]</f>
        <v>0.99904451848437192</v>
      </c>
      <c r="AL125" s="6">
        <f>Tabla13[[#This Row],[Calculated HGA_(Ph2)^H]]/Tabla13[[#This Row],[Real HGA_(Ph2)^H]]</f>
        <v>0.99972913986279899</v>
      </c>
      <c r="AM125" s="6">
        <f>Tabla13[[#This Row],[Calculated HGA_(Ph1)^H]]/Tabla13[[#This Row],[Real HGA_(Ph1)^H]]</f>
        <v>0.99422205461541502</v>
      </c>
    </row>
    <row r="126" spans="1:39">
      <c r="A126" s="6" t="str">
        <f t="shared" si="27"/>
        <v>srasearch</v>
      </c>
      <c r="B126" t="s">
        <v>26</v>
      </c>
      <c r="C126">
        <f>_xlfn.XLOOKUP(B126,Instances!$B$2:$B$29,Instances!$A$2:$A$29,,0,1)</f>
        <v>22</v>
      </c>
      <c r="D126">
        <v>16</v>
      </c>
      <c r="E126">
        <v>907.44500000000005</v>
      </c>
      <c r="F126">
        <v>907.44500000000005</v>
      </c>
      <c r="G126">
        <v>907.44500000000005</v>
      </c>
      <c r="H126">
        <v>917.06720000000007</v>
      </c>
      <c r="I126">
        <v>907.59950000000003</v>
      </c>
      <c r="J126">
        <v>914.6653</v>
      </c>
      <c r="K126">
        <v>915.18329999999992</v>
      </c>
      <c r="L126">
        <v>907.59950000000003</v>
      </c>
      <c r="M126">
        <v>918.76899999999989</v>
      </c>
      <c r="N126" s="7">
        <f t="shared" si="28"/>
        <v>0</v>
      </c>
      <c r="O126" s="1">
        <f t="shared" si="29"/>
        <v>0</v>
      </c>
      <c r="P126" s="1">
        <f t="shared" si="30"/>
        <v>-1.060361785011766E-2</v>
      </c>
      <c r="Q126" s="1">
        <f t="shared" si="31"/>
        <v>-1.7025825256625419E-4</v>
      </c>
      <c r="R126" s="1">
        <f t="shared" si="32"/>
        <v>-7.9567356699303555E-3</v>
      </c>
      <c r="S126" s="1">
        <f t="shared" si="33"/>
        <v>-8.5275691639712242E-3</v>
      </c>
      <c r="T126" s="1">
        <f t="shared" si="34"/>
        <v>-1.7025825256625419E-4</v>
      </c>
      <c r="U126" s="1">
        <f t="shared" si="35"/>
        <v>-1.2478993217219601E-2</v>
      </c>
      <c r="V126">
        <v>848.68600000000004</v>
      </c>
      <c r="W126">
        <v>907.36699999999996</v>
      </c>
      <c r="X126">
        <v>848.68600000000004</v>
      </c>
      <c r="Y126">
        <v>907.36699999999996</v>
      </c>
      <c r="Z126">
        <v>907.36699999999996</v>
      </c>
      <c r="AA126">
        <v>907.36699999999996</v>
      </c>
      <c r="AB126">
        <v>907.36699999999996</v>
      </c>
      <c r="AC126">
        <v>907.36699999999996</v>
      </c>
      <c r="AD126">
        <v>907.36699999999996</v>
      </c>
      <c r="AE126" s="6">
        <f>Tabla13[[#This Row],[Calculated HEFT_NC]]/Tabla13[[#This Row],[Real HEFT_NC]]</f>
        <v>0.93524786626186707</v>
      </c>
      <c r="AF126" s="6">
        <f>Tabla13[[#This Row],[Calculated HEFT_DNC]]/Tabla13[[#This Row],[Real HEFT_DNC]]</f>
        <v>0.9999140443773451</v>
      </c>
      <c r="AG126" s="6">
        <f>Tabla13[[#This Row],[Calculated GA_NC]]/Tabla13[[#This Row],[Real GA_NC]]</f>
        <v>0.93524786626186707</v>
      </c>
      <c r="AH126" s="6">
        <f>Tabla13[[#This Row],[Calculated GA_DNC]]/Tabla13[[#This Row],[Real GA_DNC]]</f>
        <v>0.98942258538959837</v>
      </c>
      <c r="AI126" s="6">
        <f>Tabla13[[#This Row],[Calculated HGA_(Ph2)]]/Tabla13[[#This Row],[Real HGA_(Ph2)]]</f>
        <v>0.99974382973987963</v>
      </c>
      <c r="AJ126" s="6">
        <f>Tabla13[[#This Row],[Calculated HGA_(Ph1)]]/Tabla13[[#This Row],[Real HGA_(Ph1)]]</f>
        <v>0.99202079711562252</v>
      </c>
      <c r="AK126" s="6">
        <f>Tabla13[[#This Row],[Calculated HGA^H]]/Tabla13[[#This Row],[Real GA^H]]</f>
        <v>0.99145930656732928</v>
      </c>
      <c r="AL126" s="6">
        <f>Tabla13[[#This Row],[Calculated HGA_(Ph2)^H]]/Tabla13[[#This Row],[Real HGA_(Ph2)^H]]</f>
        <v>0.99974382973987963</v>
      </c>
      <c r="AM126" s="6">
        <f>Tabla13[[#This Row],[Calculated HGA_(Ph1)^H]]/Tabla13[[#This Row],[Real HGA_(Ph1)^H]]</f>
        <v>0.98758991650784922</v>
      </c>
    </row>
    <row r="127" spans="1:39">
      <c r="A127" s="6" t="str">
        <f t="shared" si="27"/>
        <v>srasearch</v>
      </c>
      <c r="B127" t="s">
        <v>27</v>
      </c>
      <c r="C127">
        <f>_xlfn.XLOOKUP(B127,Instances!$B$2:$B$29,Instances!$A$2:$A$29,,0,1)</f>
        <v>42</v>
      </c>
      <c r="D127">
        <v>1</v>
      </c>
      <c r="E127">
        <v>32404.099999999991</v>
      </c>
      <c r="F127">
        <v>32404.099999999991</v>
      </c>
      <c r="G127">
        <v>32404.099999999991</v>
      </c>
      <c r="H127">
        <v>32404.099999999991</v>
      </c>
      <c r="I127">
        <v>32404.099999999991</v>
      </c>
      <c r="J127">
        <v>32404.099999999991</v>
      </c>
      <c r="K127">
        <v>32404.099999999991</v>
      </c>
      <c r="L127">
        <v>32404.099999999991</v>
      </c>
      <c r="M127">
        <v>32404.099999999991</v>
      </c>
      <c r="N127" s="7">
        <f t="shared" si="28"/>
        <v>0</v>
      </c>
      <c r="O127" s="1">
        <f t="shared" si="29"/>
        <v>0</v>
      </c>
      <c r="P127" s="1">
        <f t="shared" si="30"/>
        <v>0</v>
      </c>
      <c r="Q127" s="1">
        <f t="shared" si="31"/>
        <v>0</v>
      </c>
      <c r="R127" s="1">
        <f t="shared" si="32"/>
        <v>0</v>
      </c>
      <c r="S127" s="1">
        <f t="shared" si="33"/>
        <v>0</v>
      </c>
      <c r="T127" s="1">
        <f t="shared" si="34"/>
        <v>0</v>
      </c>
      <c r="U127" s="1">
        <f t="shared" si="35"/>
        <v>0</v>
      </c>
      <c r="V127">
        <v>31868.900000000009</v>
      </c>
      <c r="W127">
        <v>32404.099999999991</v>
      </c>
      <c r="X127">
        <v>31868.900000000009</v>
      </c>
      <c r="Y127">
        <v>32404.099999999991</v>
      </c>
      <c r="Z127">
        <v>32404.099999999991</v>
      </c>
      <c r="AA127">
        <v>32404.099999999991</v>
      </c>
      <c r="AB127">
        <v>32404.099999999991</v>
      </c>
      <c r="AC127">
        <v>32404.099999999991</v>
      </c>
      <c r="AD127">
        <v>32404.099999999991</v>
      </c>
      <c r="AE127" s="6">
        <f>Tabla13[[#This Row],[Calculated HEFT_NC]]/Tabla13[[#This Row],[Real HEFT_NC]]</f>
        <v>0.98348357152335719</v>
      </c>
      <c r="AF127" s="6">
        <f>Tabla13[[#This Row],[Calculated HEFT_DNC]]/Tabla13[[#This Row],[Real HEFT_DNC]]</f>
        <v>1</v>
      </c>
      <c r="AG127" s="6">
        <f>Tabla13[[#This Row],[Calculated GA_NC]]/Tabla13[[#This Row],[Real GA_NC]]</f>
        <v>0.98348357152335719</v>
      </c>
      <c r="AH127" s="6">
        <f>Tabla13[[#This Row],[Calculated GA_DNC]]/Tabla13[[#This Row],[Real GA_DNC]]</f>
        <v>1</v>
      </c>
      <c r="AI127" s="6">
        <f>Tabla13[[#This Row],[Calculated HGA_(Ph2)]]/Tabla13[[#This Row],[Real HGA_(Ph2)]]</f>
        <v>1</v>
      </c>
      <c r="AJ127" s="6">
        <f>Tabla13[[#This Row],[Calculated HGA_(Ph1)]]/Tabla13[[#This Row],[Real HGA_(Ph1)]]</f>
        <v>1</v>
      </c>
      <c r="AK127" s="6">
        <f>Tabla13[[#This Row],[Calculated HGA^H]]/Tabla13[[#This Row],[Real GA^H]]</f>
        <v>1</v>
      </c>
      <c r="AL127" s="6">
        <f>Tabla13[[#This Row],[Calculated HGA_(Ph2)^H]]/Tabla13[[#This Row],[Real HGA_(Ph2)^H]]</f>
        <v>1</v>
      </c>
      <c r="AM127" s="6">
        <f>Tabla13[[#This Row],[Calculated HGA_(Ph1)^H]]/Tabla13[[#This Row],[Real HGA_(Ph1)^H]]</f>
        <v>1</v>
      </c>
    </row>
    <row r="128" spans="1:39">
      <c r="A128" s="6" t="str">
        <f t="shared" si="27"/>
        <v>srasearch</v>
      </c>
      <c r="B128" t="s">
        <v>27</v>
      </c>
      <c r="C128">
        <f>_xlfn.XLOOKUP(B128,Instances!$B$2:$B$29,Instances!$A$2:$A$29,,0,1)</f>
        <v>42</v>
      </c>
      <c r="D128">
        <v>2</v>
      </c>
      <c r="E128">
        <v>16282.9</v>
      </c>
      <c r="F128">
        <v>16234.1</v>
      </c>
      <c r="G128">
        <v>16246</v>
      </c>
      <c r="H128">
        <v>16222.05</v>
      </c>
      <c r="I128">
        <v>16225.6</v>
      </c>
      <c r="J128">
        <v>16224.16</v>
      </c>
      <c r="K128">
        <v>16219.72</v>
      </c>
      <c r="L128">
        <v>16232.65</v>
      </c>
      <c r="M128">
        <v>16217.16</v>
      </c>
      <c r="N128" s="7">
        <f t="shared" si="28"/>
        <v>2.9970091322798318E-3</v>
      </c>
      <c r="O128" s="1">
        <f t="shared" si="29"/>
        <v>2.2661810856788186E-3</v>
      </c>
      <c r="P128" s="1">
        <f t="shared" si="30"/>
        <v>3.737049297115401E-3</v>
      </c>
      <c r="Q128" s="1">
        <f t="shared" si="31"/>
        <v>3.5190291655662858E-3</v>
      </c>
      <c r="R128" s="1">
        <f t="shared" si="32"/>
        <v>3.6074655006171985E-3</v>
      </c>
      <c r="S128" s="1">
        <f t="shared" si="33"/>
        <v>3.8801442003574479E-3</v>
      </c>
      <c r="T128" s="1">
        <f t="shared" si="34"/>
        <v>3.0860596085463894E-3</v>
      </c>
      <c r="U128" s="1">
        <f t="shared" si="35"/>
        <v>4.0373643515589841E-3</v>
      </c>
      <c r="V128">
        <v>15942.8</v>
      </c>
      <c r="W128">
        <v>16207.6</v>
      </c>
      <c r="X128">
        <v>15934.62</v>
      </c>
      <c r="Y128">
        <v>16202.21</v>
      </c>
      <c r="Z128">
        <v>16202.1</v>
      </c>
      <c r="AA128">
        <v>16202.7</v>
      </c>
      <c r="AB128">
        <v>16202.19</v>
      </c>
      <c r="AC128">
        <v>16202.1</v>
      </c>
      <c r="AD128">
        <v>16202.55</v>
      </c>
      <c r="AE128" s="6">
        <f>Tabla13[[#This Row],[Calculated HEFT_NC]]/Tabla13[[#This Row],[Real HEFT_NC]]</f>
        <v>0.97911305725638553</v>
      </c>
      <c r="AF128" s="6">
        <f>Tabla13[[#This Row],[Calculated HEFT_DNC]]/Tabla13[[#This Row],[Real HEFT_DNC]]</f>
        <v>0.99836763356145397</v>
      </c>
      <c r="AG128" s="6">
        <f>Tabla13[[#This Row],[Calculated GA_NC]]/Tabla13[[#This Row],[Real GA_NC]]</f>
        <v>0.98083343592268868</v>
      </c>
      <c r="AH128" s="6">
        <f>Tabla13[[#This Row],[Calculated GA_DNC]]/Tabla13[[#This Row],[Real GA_DNC]]</f>
        <v>0.99877697331718251</v>
      </c>
      <c r="AI128" s="6">
        <f>Tabla13[[#This Row],[Calculated HGA_(Ph2)]]/Tabla13[[#This Row],[Real HGA_(Ph2)]]</f>
        <v>0.99855167143279755</v>
      </c>
      <c r="AJ128" s="6">
        <f>Tabla13[[#This Row],[Calculated HGA_(Ph1)]]/Tabla13[[#This Row],[Real HGA_(Ph1)]]</f>
        <v>0.99867728128913924</v>
      </c>
      <c r="AK128" s="6">
        <f>Tabla13[[#This Row],[Calculated HGA^H]]/Tabla13[[#This Row],[Real GA^H]]</f>
        <v>0.99891921685454499</v>
      </c>
      <c r="AL128" s="6">
        <f>Tabla13[[#This Row],[Calculated HGA_(Ph2)^H]]/Tabla13[[#This Row],[Real HGA_(Ph2)^H]]</f>
        <v>0.99811799059303319</v>
      </c>
      <c r="AM128" s="6">
        <f>Tabla13[[#This Row],[Calculated HGA_(Ph1)^H]]/Tabla13[[#This Row],[Real HGA_(Ph1)^H]]</f>
        <v>0.99909910243223843</v>
      </c>
    </row>
    <row r="129" spans="1:39">
      <c r="A129" s="6" t="str">
        <f t="shared" si="27"/>
        <v>srasearch</v>
      </c>
      <c r="B129" t="s">
        <v>27</v>
      </c>
      <c r="C129">
        <f>_xlfn.XLOOKUP(B129,Instances!$B$2:$B$29,Instances!$A$2:$A$29,,0,1)</f>
        <v>42</v>
      </c>
      <c r="D129">
        <v>4</v>
      </c>
      <c r="E129">
        <v>8161.33</v>
      </c>
      <c r="F129">
        <v>8116.38</v>
      </c>
      <c r="G129">
        <v>8200.6280000000006</v>
      </c>
      <c r="H129">
        <v>8133.9120000000012</v>
      </c>
      <c r="I129">
        <v>8124.3579999999984</v>
      </c>
      <c r="J129">
        <v>8199.7349999999969</v>
      </c>
      <c r="K129">
        <v>8125.0300000000007</v>
      </c>
      <c r="L129">
        <v>8134.2939999999999</v>
      </c>
      <c r="M129">
        <v>8116.38</v>
      </c>
      <c r="N129" s="7">
        <f t="shared" si="28"/>
        <v>5.5076807334098511E-3</v>
      </c>
      <c r="O129" s="1">
        <f t="shared" si="29"/>
        <v>-4.8151465508686313E-3</v>
      </c>
      <c r="P129" s="1">
        <f t="shared" si="30"/>
        <v>3.3595014538070089E-3</v>
      </c>
      <c r="Q129" s="1">
        <f t="shared" si="31"/>
        <v>4.5301439838851725E-3</v>
      </c>
      <c r="R129" s="1">
        <f t="shared" si="32"/>
        <v>-4.7057281104914295E-3</v>
      </c>
      <c r="S129" s="1">
        <f t="shared" si="33"/>
        <v>4.4478044632430339E-3</v>
      </c>
      <c r="T129" s="1">
        <f t="shared" si="34"/>
        <v>3.3126953572518276E-3</v>
      </c>
      <c r="U129" s="1">
        <f t="shared" si="35"/>
        <v>5.5076807334098511E-3</v>
      </c>
      <c r="V129">
        <v>7978.2299999999987</v>
      </c>
      <c r="W129">
        <v>8108.12</v>
      </c>
      <c r="X129">
        <v>8024.0860000000002</v>
      </c>
      <c r="Y129">
        <v>8118.9160000000002</v>
      </c>
      <c r="Z129">
        <v>8101.4369999999999</v>
      </c>
      <c r="AA129">
        <v>8176.2110000000011</v>
      </c>
      <c r="AB129">
        <v>8104.1329999999989</v>
      </c>
      <c r="AC129">
        <v>8101.3059999999996</v>
      </c>
      <c r="AD129">
        <v>8108.12</v>
      </c>
      <c r="AE129" s="6">
        <f>Tabla13[[#This Row],[Calculated HEFT_NC]]/Tabla13[[#This Row],[Real HEFT_NC]]</f>
        <v>0.97756493120606547</v>
      </c>
      <c r="AF129" s="6">
        <f>Tabla13[[#This Row],[Calculated HEFT_DNC]]/Tabla13[[#This Row],[Real HEFT_DNC]]</f>
        <v>0.99898230491918805</v>
      </c>
      <c r="AG129" s="6">
        <f>Tabla13[[#This Row],[Calculated GA_NC]]/Tabla13[[#This Row],[Real GA_NC]]</f>
        <v>0.9784721365241783</v>
      </c>
      <c r="AH129" s="6">
        <f>Tabla13[[#This Row],[Calculated GA_DNC]]/Tabla13[[#This Row],[Real GA_DNC]]</f>
        <v>0.99815636067860081</v>
      </c>
      <c r="AI129" s="6">
        <f>Tabla13[[#This Row],[Calculated HGA_(Ph2)]]/Tabla13[[#This Row],[Real HGA_(Ph2)]]</f>
        <v>0.99717873092249276</v>
      </c>
      <c r="AJ129" s="6">
        <f>Tabla13[[#This Row],[Calculated HGA_(Ph1)]]/Tabla13[[#This Row],[Real HGA_(Ph1)]]</f>
        <v>0.99713112679861049</v>
      </c>
      <c r="AK129" s="6">
        <f>Tabla13[[#This Row],[Calculated HGA^H]]/Tabla13[[#This Row],[Real GA^H]]</f>
        <v>0.99742807103481446</v>
      </c>
      <c r="AL129" s="6">
        <f>Tabla13[[#This Row],[Calculated HGA_(Ph2)^H]]/Tabla13[[#This Row],[Real HGA_(Ph2)^H]]</f>
        <v>0.99594457736590292</v>
      </c>
      <c r="AM129" s="6">
        <f>Tabla13[[#This Row],[Calculated HGA_(Ph1)^H]]/Tabla13[[#This Row],[Real HGA_(Ph1)^H]]</f>
        <v>0.99898230491918805</v>
      </c>
    </row>
    <row r="130" spans="1:39">
      <c r="A130" s="6" t="str">
        <f t="shared" ref="A130:A141" si="36">LEFT(B130,FIND("-",B130)-1)</f>
        <v>srasearch</v>
      </c>
      <c r="B130" t="s">
        <v>27</v>
      </c>
      <c r="C130">
        <f>_xlfn.XLOOKUP(B130,Instances!$B$2:$B$29,Instances!$A$2:$A$29,,0,1)</f>
        <v>42</v>
      </c>
      <c r="D130">
        <v>8</v>
      </c>
      <c r="E130">
        <v>4103.97</v>
      </c>
      <c r="F130">
        <v>4109.07</v>
      </c>
      <c r="G130">
        <v>4324.8289999999997</v>
      </c>
      <c r="H130">
        <v>4350.1849999999986</v>
      </c>
      <c r="I130">
        <v>4077.6570000000002</v>
      </c>
      <c r="J130">
        <v>4257.1839999999993</v>
      </c>
      <c r="K130">
        <v>4105.7749999999996</v>
      </c>
      <c r="L130">
        <v>4081.9340000000002</v>
      </c>
      <c r="M130">
        <v>4109.07</v>
      </c>
      <c r="N130" s="7">
        <f t="shared" ref="N130:N141" si="37">(($E130-F130)/$E130)</f>
        <v>-1.2426991425374585E-3</v>
      </c>
      <c r="O130" s="1">
        <f t="shared" ref="O130:O141" si="38">(($E130-G130)/$E130)</f>
        <v>-5.3815939200335151E-2</v>
      </c>
      <c r="P130" s="1">
        <f t="shared" ref="P130:P141" si="39">(($E130-H130)/$E130)</f>
        <v>-5.9994346937233538E-2</v>
      </c>
      <c r="Q130" s="1">
        <f t="shared" ref="Q130:Q141" si="40">(($E130-I130)/$E130)</f>
        <v>6.4115965759983873E-3</v>
      </c>
      <c r="R130" s="1">
        <f t="shared" ref="R130:R141" si="41">(($E130-J130)/$E130)</f>
        <v>-3.7333118906814386E-2</v>
      </c>
      <c r="S130" s="1">
        <f t="shared" ref="S130:S141" si="42">(($E130-K130)/$E130)</f>
        <v>-4.3981802985874202E-4</v>
      </c>
      <c r="T130" s="1">
        <f t="shared" ref="T130:T141" si="43">(($E130-L130)/$E130)</f>
        <v>5.3694349617565565E-3</v>
      </c>
      <c r="U130" s="1">
        <f t="shared" ref="U130:U141" si="44">(($E130-M130)/$E130)</f>
        <v>-1.2426991425374585E-3</v>
      </c>
      <c r="V130">
        <v>4068.1799999999989</v>
      </c>
      <c r="W130">
        <v>4097.29</v>
      </c>
      <c r="X130">
        <v>4281.1869999999999</v>
      </c>
      <c r="Y130">
        <v>4349.3019999999997</v>
      </c>
      <c r="Z130">
        <v>4061.6050000000009</v>
      </c>
      <c r="AA130">
        <v>4242.0749999999998</v>
      </c>
      <c r="AB130">
        <v>4090.39</v>
      </c>
      <c r="AC130">
        <v>4058.4380000000001</v>
      </c>
      <c r="AD130">
        <v>4097.29</v>
      </c>
      <c r="AE130" s="6">
        <f>Tabla13[[#This Row],[Calculated HEFT_NC]]/Tabla13[[#This Row],[Real HEFT_NC]]</f>
        <v>0.99127917601736826</v>
      </c>
      <c r="AF130" s="6">
        <f>Tabla13[[#This Row],[Calculated HEFT_DNC]]/Tabla13[[#This Row],[Real HEFT_DNC]]</f>
        <v>0.9971331712528626</v>
      </c>
      <c r="AG130" s="6">
        <f>Tabla13[[#This Row],[Calculated GA_NC]]/Tabla13[[#This Row],[Real GA_NC]]</f>
        <v>0.98990896518683169</v>
      </c>
      <c r="AH130" s="6">
        <f>Tabla13[[#This Row],[Calculated GA_DNC]]/Tabla13[[#This Row],[Real GA_DNC]]</f>
        <v>0.99979702012673044</v>
      </c>
      <c r="AI130" s="6">
        <f>Tabla13[[#This Row],[Calculated HGA_(Ph2)]]/Tabla13[[#This Row],[Real HGA_(Ph2)]]</f>
        <v>0.99606342563879224</v>
      </c>
      <c r="AJ130" s="6">
        <f>Tabla13[[#This Row],[Calculated HGA_(Ph1)]]/Tabla13[[#This Row],[Real HGA_(Ph1)]]</f>
        <v>0.99645094033990556</v>
      </c>
      <c r="AK130" s="6">
        <f>Tabla13[[#This Row],[Calculated HGA^H]]/Tabla13[[#This Row],[Real GA^H]]</f>
        <v>0.99625283898898509</v>
      </c>
      <c r="AL130" s="6">
        <f>Tabla13[[#This Row],[Calculated HGA_(Ph2)^H]]/Tabla13[[#This Row],[Real HGA_(Ph2)^H]]</f>
        <v>0.99424390497249582</v>
      </c>
      <c r="AM130" s="6">
        <f>Tabla13[[#This Row],[Calculated HGA_(Ph1)^H]]/Tabla13[[#This Row],[Real HGA_(Ph1)^H]]</f>
        <v>0.9971331712528626</v>
      </c>
    </row>
    <row r="131" spans="1:39">
      <c r="A131" s="6" t="str">
        <f t="shared" si="36"/>
        <v>srasearch</v>
      </c>
      <c r="B131" t="s">
        <v>27</v>
      </c>
      <c r="C131">
        <f>_xlfn.XLOOKUP(B131,Instances!$B$2:$B$29,Instances!$A$2:$A$29,,0,1)</f>
        <v>42</v>
      </c>
      <c r="D131">
        <v>16</v>
      </c>
      <c r="E131">
        <v>4003.23</v>
      </c>
      <c r="F131">
        <v>4003.23</v>
      </c>
      <c r="G131">
        <v>4003.23</v>
      </c>
      <c r="H131">
        <v>4008.22</v>
      </c>
      <c r="I131">
        <v>4003.4100000000012</v>
      </c>
      <c r="J131">
        <v>4011.507000000001</v>
      </c>
      <c r="K131">
        <v>4006.806</v>
      </c>
      <c r="L131">
        <v>4003.4100000000012</v>
      </c>
      <c r="M131">
        <v>4007.7819999999988</v>
      </c>
      <c r="N131" s="7">
        <f t="shared" si="37"/>
        <v>0</v>
      </c>
      <c r="O131" s="1">
        <f t="shared" si="38"/>
        <v>0</v>
      </c>
      <c r="P131" s="1">
        <f t="shared" si="39"/>
        <v>-1.2464934565337945E-3</v>
      </c>
      <c r="Q131" s="1">
        <f t="shared" si="40"/>
        <v>-4.4963691819156164E-5</v>
      </c>
      <c r="R131" s="1">
        <f t="shared" si="41"/>
        <v>-2.0675804288039792E-3</v>
      </c>
      <c r="S131" s="1">
        <f t="shared" si="42"/>
        <v>-8.9327867746795007E-4</v>
      </c>
      <c r="T131" s="1">
        <f t="shared" si="43"/>
        <v>-4.4963691819156164E-5</v>
      </c>
      <c r="U131" s="1">
        <f t="shared" si="44"/>
        <v>-1.1370818064409915E-3</v>
      </c>
      <c r="V131">
        <v>3951.4499999999989</v>
      </c>
      <c r="W131">
        <v>4003.15</v>
      </c>
      <c r="X131">
        <v>3951.4499999999989</v>
      </c>
      <c r="Y131">
        <v>4003.15</v>
      </c>
      <c r="Z131">
        <v>4003.15</v>
      </c>
      <c r="AA131">
        <v>4003.15</v>
      </c>
      <c r="AB131">
        <v>4003.15</v>
      </c>
      <c r="AC131">
        <v>4003.15</v>
      </c>
      <c r="AD131">
        <v>4003.15</v>
      </c>
      <c r="AE131" s="6">
        <f>Tabla13[[#This Row],[Calculated HEFT_NC]]/Tabla13[[#This Row],[Real HEFT_NC]]</f>
        <v>0.98706544465344204</v>
      </c>
      <c r="AF131" s="6">
        <f>Tabla13[[#This Row],[Calculated HEFT_DNC]]/Tabla13[[#This Row],[Real HEFT_DNC]]</f>
        <v>0.99998001613696941</v>
      </c>
      <c r="AG131" s="6">
        <f>Tabla13[[#This Row],[Calculated GA_NC]]/Tabla13[[#This Row],[Real GA_NC]]</f>
        <v>0.98706544465344204</v>
      </c>
      <c r="AH131" s="6">
        <f>Tabla13[[#This Row],[Calculated GA_DNC]]/Tabla13[[#This Row],[Real GA_DNC]]</f>
        <v>0.99873509937079308</v>
      </c>
      <c r="AI131" s="6">
        <f>Tabla13[[#This Row],[Calculated HGA_(Ph2)]]/Tabla13[[#This Row],[Real HGA_(Ph2)]]</f>
        <v>0.99993505536530081</v>
      </c>
      <c r="AJ131" s="6">
        <f>Tabla13[[#This Row],[Calculated HGA_(Ph1)]]/Tabla13[[#This Row],[Real HGA_(Ph1)]]</f>
        <v>0.99791674300954702</v>
      </c>
      <c r="AK131" s="6">
        <f>Tabla13[[#This Row],[Calculated HGA^H]]/Tabla13[[#This Row],[Real GA^H]]</f>
        <v>0.99908755252937131</v>
      </c>
      <c r="AL131" s="6">
        <f>Tabla13[[#This Row],[Calculated HGA_(Ph2)^H]]/Tabla13[[#This Row],[Real HGA_(Ph2)^H]]</f>
        <v>0.99993505536530081</v>
      </c>
      <c r="AM131" s="6">
        <f>Tabla13[[#This Row],[Calculated HGA_(Ph1)^H]]/Tabla13[[#This Row],[Real HGA_(Ph1)^H]]</f>
        <v>0.99884424851451536</v>
      </c>
    </row>
    <row r="132" spans="1:39">
      <c r="A132" s="6" t="str">
        <f t="shared" si="36"/>
        <v>srasearch</v>
      </c>
      <c r="B132" t="s">
        <v>28</v>
      </c>
      <c r="C132">
        <f>_xlfn.XLOOKUP(B132,Instances!$B$2:$B$29,Instances!$A$2:$A$29,,0,1)</f>
        <v>84</v>
      </c>
      <c r="D132">
        <v>1</v>
      </c>
      <c r="E132">
        <v>38805.800000000003</v>
      </c>
      <c r="F132">
        <v>38805.800000000003</v>
      </c>
      <c r="G132">
        <v>38805.800000000003</v>
      </c>
      <c r="H132">
        <v>38805.800000000003</v>
      </c>
      <c r="I132">
        <v>38805.800000000003</v>
      </c>
      <c r="J132">
        <v>38805.800000000003</v>
      </c>
      <c r="K132">
        <v>38805.800000000003</v>
      </c>
      <c r="L132">
        <v>38805.800000000003</v>
      </c>
      <c r="M132">
        <v>38805.800000000003</v>
      </c>
      <c r="N132" s="7">
        <f t="shared" si="37"/>
        <v>0</v>
      </c>
      <c r="O132" s="1">
        <f t="shared" si="38"/>
        <v>0</v>
      </c>
      <c r="P132" s="1">
        <f t="shared" si="39"/>
        <v>0</v>
      </c>
      <c r="Q132" s="1">
        <f t="shared" si="40"/>
        <v>0</v>
      </c>
      <c r="R132" s="1">
        <f t="shared" si="41"/>
        <v>0</v>
      </c>
      <c r="S132" s="1">
        <f t="shared" si="42"/>
        <v>0</v>
      </c>
      <c r="T132" s="1">
        <f t="shared" si="43"/>
        <v>0</v>
      </c>
      <c r="U132" s="1">
        <f t="shared" si="44"/>
        <v>0</v>
      </c>
      <c r="V132">
        <v>37763.800000000003</v>
      </c>
      <c r="W132">
        <v>38805.599999999991</v>
      </c>
      <c r="X132">
        <v>37763.800000000003</v>
      </c>
      <c r="Y132">
        <v>38805.599999999991</v>
      </c>
      <c r="Z132">
        <v>38805.599999999991</v>
      </c>
      <c r="AA132">
        <v>38805.599999999991</v>
      </c>
      <c r="AB132">
        <v>38805.599999999991</v>
      </c>
      <c r="AC132">
        <v>38805.599999999991</v>
      </c>
      <c r="AD132">
        <v>38805.599999999991</v>
      </c>
      <c r="AE132" s="6">
        <f>Tabla13[[#This Row],[Calculated HEFT_NC]]/Tabla13[[#This Row],[Real HEFT_NC]]</f>
        <v>0.97314834380427673</v>
      </c>
      <c r="AF132" s="6">
        <f>Tabla13[[#This Row],[Calculated HEFT_DNC]]/Tabla13[[#This Row],[Real HEFT_DNC]]</f>
        <v>0.99999484613124812</v>
      </c>
      <c r="AG132" s="6">
        <f>Tabla13[[#This Row],[Calculated GA_NC]]/Tabla13[[#This Row],[Real GA_NC]]</f>
        <v>0.97314834380427673</v>
      </c>
      <c r="AH132" s="6">
        <f>Tabla13[[#This Row],[Calculated GA_DNC]]/Tabla13[[#This Row],[Real GA_DNC]]</f>
        <v>0.99999484613124812</v>
      </c>
      <c r="AI132" s="6">
        <f>Tabla13[[#This Row],[Calculated HGA_(Ph2)]]/Tabla13[[#This Row],[Real HGA_(Ph2)]]</f>
        <v>0.99999484613124812</v>
      </c>
      <c r="AJ132" s="6">
        <f>Tabla13[[#This Row],[Calculated HGA_(Ph1)]]/Tabla13[[#This Row],[Real HGA_(Ph1)]]</f>
        <v>0.99999484613124812</v>
      </c>
      <c r="AK132" s="6">
        <f>Tabla13[[#This Row],[Calculated HGA^H]]/Tabla13[[#This Row],[Real GA^H]]</f>
        <v>0.99999484613124812</v>
      </c>
      <c r="AL132" s="6">
        <f>Tabla13[[#This Row],[Calculated HGA_(Ph2)^H]]/Tabla13[[#This Row],[Real HGA_(Ph2)^H]]</f>
        <v>0.99999484613124812</v>
      </c>
      <c r="AM132" s="6">
        <f>Tabla13[[#This Row],[Calculated HGA_(Ph1)^H]]/Tabla13[[#This Row],[Real HGA_(Ph1)^H]]</f>
        <v>0.99999484613124812</v>
      </c>
    </row>
    <row r="133" spans="1:39">
      <c r="A133" s="6" t="str">
        <f t="shared" si="36"/>
        <v>srasearch</v>
      </c>
      <c r="B133" t="s">
        <v>28</v>
      </c>
      <c r="C133">
        <f>_xlfn.XLOOKUP(B133,Instances!$B$2:$B$29,Instances!$A$2:$A$29,,0,1)</f>
        <v>84</v>
      </c>
      <c r="D133">
        <v>2</v>
      </c>
      <c r="E133">
        <v>19552.599999999999</v>
      </c>
      <c r="F133">
        <v>19583.599999999999</v>
      </c>
      <c r="G133">
        <v>19488.580000000002</v>
      </c>
      <c r="H133">
        <v>19436.77</v>
      </c>
      <c r="I133">
        <v>19444.79</v>
      </c>
      <c r="J133">
        <v>19566.09</v>
      </c>
      <c r="K133">
        <v>19444.64</v>
      </c>
      <c r="L133">
        <v>19461.54</v>
      </c>
      <c r="M133">
        <v>19558.32</v>
      </c>
      <c r="N133" s="7">
        <f t="shared" si="37"/>
        <v>-1.5854668944283625E-3</v>
      </c>
      <c r="O133" s="1">
        <f t="shared" si="38"/>
        <v>3.2742448574612482E-3</v>
      </c>
      <c r="P133" s="1">
        <f t="shared" si="39"/>
        <v>5.9240203348914274E-3</v>
      </c>
      <c r="Q133" s="1">
        <f t="shared" si="40"/>
        <v>5.5138447060747772E-3</v>
      </c>
      <c r="R133" s="1">
        <f t="shared" si="41"/>
        <v>-6.8993381954326289E-4</v>
      </c>
      <c r="S133" s="1">
        <f t="shared" si="42"/>
        <v>5.5215163200801496E-3</v>
      </c>
      <c r="T133" s="1">
        <f t="shared" si="43"/>
        <v>4.6571811421497744E-3</v>
      </c>
      <c r="U133" s="1">
        <f t="shared" si="44"/>
        <v>-2.9254421406877675E-4</v>
      </c>
      <c r="V133">
        <v>18883.5</v>
      </c>
      <c r="W133">
        <v>19403.400000000001</v>
      </c>
      <c r="X133">
        <v>18881.93</v>
      </c>
      <c r="Y133">
        <v>19402.89</v>
      </c>
      <c r="Z133">
        <v>19402.8</v>
      </c>
      <c r="AA133">
        <v>19402.900000000001</v>
      </c>
      <c r="AB133">
        <v>19402.89</v>
      </c>
      <c r="AC133">
        <v>19402.8</v>
      </c>
      <c r="AD133">
        <v>19402.900000000001</v>
      </c>
      <c r="AE133" s="6">
        <f>Tabla13[[#This Row],[Calculated HEFT_NC]]/Tabla13[[#This Row],[Real HEFT_NC]]</f>
        <v>0.96577948712703177</v>
      </c>
      <c r="AF133" s="6">
        <f>Tabla13[[#This Row],[Calculated HEFT_DNC]]/Tabla13[[#This Row],[Real HEFT_DNC]]</f>
        <v>0.990798423170408</v>
      </c>
      <c r="AG133" s="6">
        <f>Tabla13[[#This Row],[Calculated GA_NC]]/Tabla13[[#This Row],[Real GA_NC]]</f>
        <v>0.96887151347096601</v>
      </c>
      <c r="AH133" s="6">
        <f>Tabla13[[#This Row],[Calculated GA_DNC]]/Tabla13[[#This Row],[Real GA_DNC]]</f>
        <v>0.99825691202807865</v>
      </c>
      <c r="AI133" s="6">
        <f>Tabla13[[#This Row],[Calculated HGA_(Ph2)]]/Tabla13[[#This Row],[Real HGA_(Ph2)]]</f>
        <v>0.9978405526621783</v>
      </c>
      <c r="AJ133" s="6">
        <f>Tabla13[[#This Row],[Calculated HGA_(Ph1)]]/Tabla13[[#This Row],[Real HGA_(Ph1)]]</f>
        <v>0.99165954976185844</v>
      </c>
      <c r="AK133" s="6">
        <f>Tabla13[[#This Row],[Calculated HGA^H]]/Tabla13[[#This Row],[Real GA^H]]</f>
        <v>0.99785287873676243</v>
      </c>
      <c r="AL133" s="6">
        <f>Tabla13[[#This Row],[Calculated HGA_(Ph2)^H]]/Tabla13[[#This Row],[Real HGA_(Ph2)^H]]</f>
        <v>0.99698173936903234</v>
      </c>
      <c r="AM133" s="6">
        <f>Tabla13[[#This Row],[Calculated HGA_(Ph1)^H]]/Tabla13[[#This Row],[Real HGA_(Ph1)^H]]</f>
        <v>0.99205350970840045</v>
      </c>
    </row>
    <row r="134" spans="1:39">
      <c r="A134" s="6" t="str">
        <f t="shared" si="36"/>
        <v>srasearch</v>
      </c>
      <c r="B134" t="s">
        <v>28</v>
      </c>
      <c r="C134">
        <f>_xlfn.XLOOKUP(B134,Instances!$B$2:$B$29,Instances!$A$2:$A$29,,0,1)</f>
        <v>84</v>
      </c>
      <c r="D134">
        <v>4</v>
      </c>
      <c r="E134">
        <v>9786.89</v>
      </c>
      <c r="F134">
        <v>9806.09</v>
      </c>
      <c r="G134">
        <v>9823.2440000000006</v>
      </c>
      <c r="H134">
        <v>9743.1080000000002</v>
      </c>
      <c r="I134">
        <v>9757.0170000000016</v>
      </c>
      <c r="J134">
        <v>9770.8520000000008</v>
      </c>
      <c r="K134">
        <v>9776.4689999999991</v>
      </c>
      <c r="L134">
        <v>9765.893</v>
      </c>
      <c r="M134">
        <v>9806.09</v>
      </c>
      <c r="N134" s="7">
        <f t="shared" si="37"/>
        <v>-1.9618080922541E-3</v>
      </c>
      <c r="O134" s="1">
        <f t="shared" si="38"/>
        <v>-3.7145610096773521E-3</v>
      </c>
      <c r="P134" s="1">
        <f t="shared" si="39"/>
        <v>4.4735355153679305E-3</v>
      </c>
      <c r="Q134" s="1">
        <f t="shared" si="40"/>
        <v>3.0523486010364657E-3</v>
      </c>
      <c r="R134" s="1">
        <f t="shared" si="41"/>
        <v>1.6387228220608025E-3</v>
      </c>
      <c r="S134" s="1">
        <f t="shared" si="42"/>
        <v>1.0647917775718618E-3</v>
      </c>
      <c r="T134" s="1">
        <f t="shared" si="43"/>
        <v>2.1454210683883633E-3</v>
      </c>
      <c r="U134" s="1">
        <f t="shared" si="44"/>
        <v>-1.9618080922541E-3</v>
      </c>
      <c r="V134">
        <v>9446.3500000000022</v>
      </c>
      <c r="W134">
        <v>9710.2099999999973</v>
      </c>
      <c r="X134">
        <v>9443.5620000000017</v>
      </c>
      <c r="Y134">
        <v>9703.9009999999998</v>
      </c>
      <c r="Z134">
        <v>9701.65</v>
      </c>
      <c r="AA134">
        <v>9729.380000000001</v>
      </c>
      <c r="AB134">
        <v>9702.8149999999987</v>
      </c>
      <c r="AC134">
        <v>9701.6179999999986</v>
      </c>
      <c r="AD134">
        <v>9710.2099999999973</v>
      </c>
      <c r="AE134" s="6">
        <f>Tabla13[[#This Row],[Calculated HEFT_NC]]/Tabla13[[#This Row],[Real HEFT_NC]]</f>
        <v>0.96520447251374064</v>
      </c>
      <c r="AF134" s="6">
        <f>Tabla13[[#This Row],[Calculated HEFT_DNC]]/Tabla13[[#This Row],[Real HEFT_DNC]]</f>
        <v>0.99022240260899064</v>
      </c>
      <c r="AG134" s="6">
        <f>Tabla13[[#This Row],[Calculated GA_NC]]/Tabla13[[#This Row],[Real GA_NC]]</f>
        <v>0.96134861355373047</v>
      </c>
      <c r="AH134" s="6">
        <f>Tabla13[[#This Row],[Calculated GA_DNC]]/Tabla13[[#This Row],[Real GA_DNC]]</f>
        <v>0.99597592472545715</v>
      </c>
      <c r="AI134" s="6">
        <f>Tabla13[[#This Row],[Calculated HGA_(Ph2)]]/Tabla13[[#This Row],[Real HGA_(Ph2)]]</f>
        <v>0.99432541728686119</v>
      </c>
      <c r="AJ134" s="6">
        <f>Tabla13[[#This Row],[Calculated HGA_(Ph1)]]/Tabla13[[#This Row],[Real HGA_(Ph1)]]</f>
        <v>0.99575553902566538</v>
      </c>
      <c r="AK134" s="6">
        <f>Tabla13[[#This Row],[Calculated HGA^H]]/Tabla13[[#This Row],[Real GA^H]]</f>
        <v>0.99246619612868403</v>
      </c>
      <c r="AL134" s="6">
        <f>Tabla13[[#This Row],[Calculated HGA_(Ph2)^H]]/Tabla13[[#This Row],[Real HGA_(Ph2)^H]]</f>
        <v>0.99341842061959906</v>
      </c>
      <c r="AM134" s="6">
        <f>Tabla13[[#This Row],[Calculated HGA_(Ph1)^H]]/Tabla13[[#This Row],[Real HGA_(Ph1)^H]]</f>
        <v>0.99022240260899064</v>
      </c>
    </row>
    <row r="135" spans="1:39">
      <c r="A135" s="6" t="str">
        <f t="shared" si="36"/>
        <v>srasearch</v>
      </c>
      <c r="B135" t="s">
        <v>28</v>
      </c>
      <c r="C135">
        <f>_xlfn.XLOOKUP(B135,Instances!$B$2:$B$29,Instances!$A$2:$A$29,,0,1)</f>
        <v>84</v>
      </c>
      <c r="D135">
        <v>8</v>
      </c>
      <c r="E135">
        <v>4992.6900000000014</v>
      </c>
      <c r="F135">
        <v>4922.5200000000013</v>
      </c>
      <c r="G135">
        <v>4997.0140000000001</v>
      </c>
      <c r="H135">
        <v>4959.6629999999996</v>
      </c>
      <c r="I135">
        <v>4894.2219999999998</v>
      </c>
      <c r="J135">
        <v>5014.5110000000004</v>
      </c>
      <c r="K135">
        <v>4912.8229999999994</v>
      </c>
      <c r="L135">
        <v>4893.0529999999999</v>
      </c>
      <c r="M135">
        <v>4922.5200000000013</v>
      </c>
      <c r="N135" s="7">
        <f t="shared" si="37"/>
        <v>1.4054547748808769E-2</v>
      </c>
      <c r="O135" s="1">
        <f t="shared" si="38"/>
        <v>-8.6606618876771909E-4</v>
      </c>
      <c r="P135" s="1">
        <f t="shared" si="39"/>
        <v>6.6150712341446899E-3</v>
      </c>
      <c r="Q135" s="1">
        <f t="shared" si="40"/>
        <v>1.9722434198798971E-2</v>
      </c>
      <c r="R135" s="1">
        <f t="shared" si="41"/>
        <v>-4.3705898022907488E-3</v>
      </c>
      <c r="S135" s="1">
        <f t="shared" si="42"/>
        <v>1.5996787303037437E-2</v>
      </c>
      <c r="T135" s="1">
        <f t="shared" si="43"/>
        <v>1.9956576514865033E-2</v>
      </c>
      <c r="U135" s="1">
        <f t="shared" si="44"/>
        <v>1.4054547748808769E-2</v>
      </c>
      <c r="V135">
        <v>4744.1000000000004</v>
      </c>
      <c r="W135">
        <v>4873.3700000000008</v>
      </c>
      <c r="X135">
        <v>4816.7570000000014</v>
      </c>
      <c r="Y135">
        <v>4939.8940000000011</v>
      </c>
      <c r="Z135">
        <v>4852.027</v>
      </c>
      <c r="AA135">
        <v>4977.4009999999998</v>
      </c>
      <c r="AB135">
        <v>4860.0350000000008</v>
      </c>
      <c r="AC135">
        <v>4851.3510000000006</v>
      </c>
      <c r="AD135">
        <v>4873.3700000000008</v>
      </c>
      <c r="AE135" s="6">
        <f>Tabla13[[#This Row],[Calculated HEFT_NC]]/Tabla13[[#This Row],[Real HEFT_NC]]</f>
        <v>0.95020920585896562</v>
      </c>
      <c r="AF135" s="6">
        <f>Tabla13[[#This Row],[Calculated HEFT_DNC]]/Tabla13[[#This Row],[Real HEFT_DNC]]</f>
        <v>0.99001527672817979</v>
      </c>
      <c r="AG135" s="6">
        <f>Tabla13[[#This Row],[Calculated GA_NC]]/Tabla13[[#This Row],[Real GA_NC]]</f>
        <v>0.96392705723858318</v>
      </c>
      <c r="AH135" s="6">
        <f>Tabla13[[#This Row],[Calculated GA_DNC]]/Tabla13[[#This Row],[Real GA_DNC]]</f>
        <v>0.99601404369611435</v>
      </c>
      <c r="AI135" s="6">
        <f>Tabla13[[#This Row],[Calculated HGA_(Ph2)]]/Tabla13[[#This Row],[Real HGA_(Ph2)]]</f>
        <v>0.99137860930705646</v>
      </c>
      <c r="AJ135" s="6">
        <f>Tabla13[[#This Row],[Calculated HGA_(Ph1)]]/Tabla13[[#This Row],[Real HGA_(Ph1)]]</f>
        <v>0.9925994777955417</v>
      </c>
      <c r="AK135" s="6">
        <f>Tabla13[[#This Row],[Calculated HGA^H]]/Tabla13[[#This Row],[Real GA^H]]</f>
        <v>0.9892550576318343</v>
      </c>
      <c r="AL135" s="6">
        <f>Tabla13[[#This Row],[Calculated HGA_(Ph2)^H]]/Tabla13[[#This Row],[Real HGA_(Ph2)^H]]</f>
        <v>0.99147730466030115</v>
      </c>
      <c r="AM135" s="6">
        <f>Tabla13[[#This Row],[Calculated HGA_(Ph1)^H]]/Tabla13[[#This Row],[Real HGA_(Ph1)^H]]</f>
        <v>0.99001527672817979</v>
      </c>
    </row>
    <row r="136" spans="1:39">
      <c r="A136" s="6" t="str">
        <f t="shared" si="36"/>
        <v>srasearch</v>
      </c>
      <c r="B136" t="s">
        <v>28</v>
      </c>
      <c r="C136">
        <f>_xlfn.XLOOKUP(B136,Instances!$B$2:$B$29,Instances!$A$2:$A$29,,0,1)</f>
        <v>84</v>
      </c>
      <c r="D136">
        <v>16</v>
      </c>
      <c r="E136">
        <v>2492.5100000000011</v>
      </c>
      <c r="F136">
        <v>2488.4899999999989</v>
      </c>
      <c r="G136">
        <v>2740.9340000000002</v>
      </c>
      <c r="H136">
        <v>2779.8910000000001</v>
      </c>
      <c r="I136">
        <v>2460.991</v>
      </c>
      <c r="J136">
        <v>2655.26</v>
      </c>
      <c r="K136">
        <v>2495.9009999999998</v>
      </c>
      <c r="L136">
        <v>2460.6179999999999</v>
      </c>
      <c r="M136">
        <v>2488.4899999999989</v>
      </c>
      <c r="N136" s="7">
        <f t="shared" si="37"/>
        <v>1.6128320448071437E-3</v>
      </c>
      <c r="O136" s="1">
        <f t="shared" si="38"/>
        <v>-9.9668205945010829E-2</v>
      </c>
      <c r="P136" s="1">
        <f t="shared" si="39"/>
        <v>-0.11529783230558707</v>
      </c>
      <c r="Q136" s="1">
        <f t="shared" si="40"/>
        <v>1.2645485875684001E-2</v>
      </c>
      <c r="R136" s="1">
        <f t="shared" si="41"/>
        <v>-6.529562569458057E-2</v>
      </c>
      <c r="S136" s="1">
        <f t="shared" si="42"/>
        <v>-1.3604759860537012E-3</v>
      </c>
      <c r="T136" s="1">
        <f t="shared" si="43"/>
        <v>1.2795134222129972E-2</v>
      </c>
      <c r="U136" s="1">
        <f t="shared" si="44"/>
        <v>1.6128320448071437E-3</v>
      </c>
      <c r="V136">
        <v>2447.0700000000002</v>
      </c>
      <c r="W136">
        <v>2477.44</v>
      </c>
      <c r="X136">
        <v>2688.4380000000001</v>
      </c>
      <c r="Y136">
        <v>2777.511</v>
      </c>
      <c r="Z136">
        <v>2435.9690000000001</v>
      </c>
      <c r="AA136">
        <v>2640.6579999999999</v>
      </c>
      <c r="AB136">
        <v>2477.44</v>
      </c>
      <c r="AC136">
        <v>2429.87</v>
      </c>
      <c r="AD136">
        <v>2477.44</v>
      </c>
      <c r="AE136" s="6">
        <f>Tabla13[[#This Row],[Calculated HEFT_NC]]/Tabla13[[#This Row],[Real HEFT_NC]]</f>
        <v>0.98176938106567235</v>
      </c>
      <c r="AF136" s="6">
        <f>Tabla13[[#This Row],[Calculated HEFT_DNC]]/Tabla13[[#This Row],[Real HEFT_DNC]]</f>
        <v>0.9955595561967302</v>
      </c>
      <c r="AG136" s="6">
        <f>Tabla13[[#This Row],[Calculated GA_NC]]/Tabla13[[#This Row],[Real GA_NC]]</f>
        <v>0.98084740457085062</v>
      </c>
      <c r="AH136" s="6">
        <f>Tabla13[[#This Row],[Calculated GA_DNC]]/Tabla13[[#This Row],[Real GA_DNC]]</f>
        <v>0.99914385132366701</v>
      </c>
      <c r="AI136" s="6">
        <f>Tabla13[[#This Row],[Calculated HGA_(Ph2)]]/Tabla13[[#This Row],[Real HGA_(Ph2)]]</f>
        <v>0.98983255119583946</v>
      </c>
      <c r="AJ136" s="6">
        <f>Tabla13[[#This Row],[Calculated HGA_(Ph1)]]/Tabla13[[#This Row],[Real HGA_(Ph1)]]</f>
        <v>0.99450072685913982</v>
      </c>
      <c r="AK136" s="6">
        <f>Tabla13[[#This Row],[Calculated HGA^H]]/Tabla13[[#This Row],[Real GA^H]]</f>
        <v>0.99260347265376314</v>
      </c>
      <c r="AL136" s="6">
        <f>Tabla13[[#This Row],[Calculated HGA_(Ph2)^H]]/Tabla13[[#This Row],[Real HGA_(Ph2)^H]]</f>
        <v>0.98750395225914789</v>
      </c>
      <c r="AM136" s="6">
        <f>Tabla13[[#This Row],[Calculated HGA_(Ph1)^H]]/Tabla13[[#This Row],[Real HGA_(Ph1)^H]]</f>
        <v>0.9955595561967302</v>
      </c>
    </row>
    <row r="137" spans="1:39">
      <c r="A137" s="6" t="str">
        <f t="shared" si="36"/>
        <v>srasearch</v>
      </c>
      <c r="B137" t="s">
        <v>29</v>
      </c>
      <c r="C137">
        <f>_xlfn.XLOOKUP(B137,Instances!$B$2:$B$29,Instances!$A$2:$A$29,,0,1)</f>
        <v>104</v>
      </c>
      <c r="D137">
        <v>1</v>
      </c>
      <c r="E137">
        <v>59148.1</v>
      </c>
      <c r="F137">
        <v>59148.1</v>
      </c>
      <c r="G137">
        <v>59148.1</v>
      </c>
      <c r="H137">
        <v>59148.1</v>
      </c>
      <c r="I137">
        <v>59148.1</v>
      </c>
      <c r="J137">
        <v>59148.1</v>
      </c>
      <c r="K137">
        <v>59148.1</v>
      </c>
      <c r="L137">
        <v>59148.1</v>
      </c>
      <c r="M137">
        <v>59148.1</v>
      </c>
      <c r="N137" s="7">
        <f t="shared" si="37"/>
        <v>0</v>
      </c>
      <c r="O137" s="1">
        <f t="shared" si="38"/>
        <v>0</v>
      </c>
      <c r="P137" s="1">
        <f t="shared" si="39"/>
        <v>0</v>
      </c>
      <c r="Q137" s="1">
        <f t="shared" si="40"/>
        <v>0</v>
      </c>
      <c r="R137" s="1">
        <f t="shared" si="41"/>
        <v>0</v>
      </c>
      <c r="S137" s="1">
        <f t="shared" si="42"/>
        <v>0</v>
      </c>
      <c r="T137" s="1">
        <f t="shared" si="43"/>
        <v>0</v>
      </c>
      <c r="U137" s="1">
        <f t="shared" si="44"/>
        <v>0</v>
      </c>
      <c r="V137">
        <v>57806.7</v>
      </c>
      <c r="W137">
        <v>59147.9</v>
      </c>
      <c r="X137">
        <v>57806.7</v>
      </c>
      <c r="Y137">
        <v>59147.9</v>
      </c>
      <c r="Z137">
        <v>59147.9</v>
      </c>
      <c r="AA137">
        <v>59147.9</v>
      </c>
      <c r="AB137">
        <v>59147.9</v>
      </c>
      <c r="AC137">
        <v>59147.9</v>
      </c>
      <c r="AD137">
        <v>59147.9</v>
      </c>
      <c r="AE137" s="6">
        <f>Tabla13[[#This Row],[Calculated HEFT_NC]]/Tabla13[[#This Row],[Real HEFT_NC]]</f>
        <v>0.97732133407497446</v>
      </c>
      <c r="AF137" s="6">
        <f>Tabla13[[#This Row],[Calculated HEFT_DNC]]/Tabla13[[#This Row],[Real HEFT_DNC]]</f>
        <v>0.99999661865723499</v>
      </c>
      <c r="AG137" s="6">
        <f>Tabla13[[#This Row],[Calculated GA_NC]]/Tabla13[[#This Row],[Real GA_NC]]</f>
        <v>0.97732133407497446</v>
      </c>
      <c r="AH137" s="6">
        <f>Tabla13[[#This Row],[Calculated GA_DNC]]/Tabla13[[#This Row],[Real GA_DNC]]</f>
        <v>0.99999661865723499</v>
      </c>
      <c r="AI137" s="6">
        <f>Tabla13[[#This Row],[Calculated HGA_(Ph2)]]/Tabla13[[#This Row],[Real HGA_(Ph2)]]</f>
        <v>0.99999661865723499</v>
      </c>
      <c r="AJ137" s="6">
        <f>Tabla13[[#This Row],[Calculated HGA_(Ph1)]]/Tabla13[[#This Row],[Real HGA_(Ph1)]]</f>
        <v>0.99999661865723499</v>
      </c>
      <c r="AK137" s="6">
        <f>Tabla13[[#This Row],[Calculated HGA^H]]/Tabla13[[#This Row],[Real GA^H]]</f>
        <v>0.99999661865723499</v>
      </c>
      <c r="AL137" s="6">
        <f>Tabla13[[#This Row],[Calculated HGA_(Ph2)^H]]/Tabla13[[#This Row],[Real HGA_(Ph2)^H]]</f>
        <v>0.99999661865723499</v>
      </c>
      <c r="AM137" s="6">
        <f>Tabla13[[#This Row],[Calculated HGA_(Ph1)^H]]/Tabla13[[#This Row],[Real HGA_(Ph1)^H]]</f>
        <v>0.99999661865723499</v>
      </c>
    </row>
    <row r="138" spans="1:39">
      <c r="A138" s="6" t="str">
        <f t="shared" si="36"/>
        <v>srasearch</v>
      </c>
      <c r="B138" t="s">
        <v>29</v>
      </c>
      <c r="C138">
        <f>_xlfn.XLOOKUP(B138,Instances!$B$2:$B$29,Instances!$A$2:$A$29,,0,1)</f>
        <v>104</v>
      </c>
      <c r="D138">
        <v>2</v>
      </c>
      <c r="E138">
        <v>29591.599999999991</v>
      </c>
      <c r="F138">
        <v>29747.3</v>
      </c>
      <c r="G138">
        <v>29675.18</v>
      </c>
      <c r="H138">
        <v>29618.52</v>
      </c>
      <c r="I138">
        <v>29639.72</v>
      </c>
      <c r="J138">
        <v>29739.65</v>
      </c>
      <c r="K138">
        <v>29625.51</v>
      </c>
      <c r="L138">
        <v>29639.09</v>
      </c>
      <c r="M138">
        <v>29713.21</v>
      </c>
      <c r="N138" s="7">
        <f t="shared" si="37"/>
        <v>-5.2616282999232234E-3</v>
      </c>
      <c r="O138" s="1">
        <f t="shared" si="38"/>
        <v>-2.8244501818086567E-3</v>
      </c>
      <c r="P138" s="1">
        <f t="shared" si="39"/>
        <v>-9.0971762256887687E-4</v>
      </c>
      <c r="Q138" s="1">
        <f t="shared" si="40"/>
        <v>-1.6261371470285455E-3</v>
      </c>
      <c r="R138" s="1">
        <f t="shared" si="41"/>
        <v>-5.00310899038951E-3</v>
      </c>
      <c r="S138" s="1">
        <f t="shared" si="42"/>
        <v>-1.1459333053977191E-3</v>
      </c>
      <c r="T138" s="1">
        <f t="shared" si="43"/>
        <v>-1.6048473215374934E-3</v>
      </c>
      <c r="U138" s="1">
        <f t="shared" si="44"/>
        <v>-4.1096121872425924E-3</v>
      </c>
      <c r="V138">
        <v>28903.7</v>
      </c>
      <c r="W138">
        <v>29574.799999999999</v>
      </c>
      <c r="X138">
        <v>28903.439999999999</v>
      </c>
      <c r="Y138">
        <v>29574.01</v>
      </c>
      <c r="Z138">
        <v>29574</v>
      </c>
      <c r="AA138">
        <v>29574</v>
      </c>
      <c r="AB138">
        <v>29574</v>
      </c>
      <c r="AC138">
        <v>29574</v>
      </c>
      <c r="AD138">
        <v>29574</v>
      </c>
      <c r="AE138" s="6">
        <f>Tabla13[[#This Row],[Calculated HEFT_NC]]/Tabla13[[#This Row],[Real HEFT_NC]]</f>
        <v>0.97675353816623667</v>
      </c>
      <c r="AF138" s="6">
        <f>Tabla13[[#This Row],[Calculated HEFT_DNC]]/Tabla13[[#This Row],[Real HEFT_DNC]]</f>
        <v>0.99420115439048251</v>
      </c>
      <c r="AG138" s="6">
        <f>Tabla13[[#This Row],[Calculated GA_NC]]/Tabla13[[#This Row],[Real GA_NC]]</f>
        <v>0.97399375505051689</v>
      </c>
      <c r="AH138" s="6">
        <f>Tabla13[[#This Row],[Calculated GA_DNC]]/Tabla13[[#This Row],[Real GA_DNC]]</f>
        <v>0.99849722403415153</v>
      </c>
      <c r="AI138" s="6">
        <f>Tabla13[[#This Row],[Calculated HGA_(Ph2)]]/Tabla13[[#This Row],[Real HGA_(Ph2)]]</f>
        <v>0.99778270509977818</v>
      </c>
      <c r="AJ138" s="6">
        <f>Tabla13[[#This Row],[Calculated HGA_(Ph1)]]/Tabla13[[#This Row],[Real HGA_(Ph1)]]</f>
        <v>0.99442999497304096</v>
      </c>
      <c r="AK138" s="6">
        <f>Tabla13[[#This Row],[Calculated HGA^H]]/Tabla13[[#This Row],[Real GA^H]]</f>
        <v>0.99826129575490863</v>
      </c>
      <c r="AL138" s="6">
        <f>Tabla13[[#This Row],[Calculated HGA_(Ph2)^H]]/Tabla13[[#This Row],[Real HGA_(Ph2)^H]]</f>
        <v>0.99780391368290999</v>
      </c>
      <c r="AM138" s="6">
        <f>Tabla13[[#This Row],[Calculated HGA_(Ph1)^H]]/Tabla13[[#This Row],[Real HGA_(Ph1)^H]]</f>
        <v>0.99531487846651379</v>
      </c>
    </row>
    <row r="139" spans="1:39">
      <c r="A139" s="6" t="str">
        <f t="shared" si="36"/>
        <v>srasearch</v>
      </c>
      <c r="B139" t="s">
        <v>29</v>
      </c>
      <c r="C139">
        <f>_xlfn.XLOOKUP(B139,Instances!$B$2:$B$29,Instances!$A$2:$A$29,,0,1)</f>
        <v>104</v>
      </c>
      <c r="D139">
        <v>4</v>
      </c>
      <c r="E139">
        <v>14818.9</v>
      </c>
      <c r="F139">
        <v>14819.7</v>
      </c>
      <c r="G139">
        <v>14953.97</v>
      </c>
      <c r="H139">
        <v>14843.26</v>
      </c>
      <c r="I139">
        <v>14859.38</v>
      </c>
      <c r="J139">
        <v>14895.17</v>
      </c>
      <c r="K139">
        <v>14850.14</v>
      </c>
      <c r="L139">
        <v>14871.1</v>
      </c>
      <c r="M139">
        <v>14820.78</v>
      </c>
      <c r="N139" s="7">
        <f t="shared" si="37"/>
        <v>-5.3985113604997092E-5</v>
      </c>
      <c r="O139" s="1">
        <f t="shared" si="38"/>
        <v>-9.1147116182712425E-3</v>
      </c>
      <c r="P139" s="1">
        <f t="shared" si="39"/>
        <v>-1.6438467092699581E-3</v>
      </c>
      <c r="Q139" s="1">
        <f t="shared" si="40"/>
        <v>-2.7316467484090967E-3</v>
      </c>
      <c r="R139" s="1">
        <f t="shared" si="41"/>
        <v>-5.1468057683094186E-3</v>
      </c>
      <c r="S139" s="1">
        <f t="shared" si="42"/>
        <v>-2.1081186862722456E-3</v>
      </c>
      <c r="T139" s="1">
        <f t="shared" si="43"/>
        <v>-3.5225286627213036E-3</v>
      </c>
      <c r="U139" s="1">
        <f t="shared" si="44"/>
        <v>-1.2686501697163884E-4</v>
      </c>
      <c r="V139">
        <v>14456.4</v>
      </c>
      <c r="W139">
        <v>14801.9</v>
      </c>
      <c r="X139">
        <v>14455.82</v>
      </c>
      <c r="Y139">
        <v>14790.36</v>
      </c>
      <c r="Z139">
        <v>14787.23</v>
      </c>
      <c r="AA139">
        <v>14822.55</v>
      </c>
      <c r="AB139">
        <v>14789.51</v>
      </c>
      <c r="AC139">
        <v>14787.2</v>
      </c>
      <c r="AD139">
        <v>14800.01</v>
      </c>
      <c r="AE139" s="6">
        <f>Tabla13[[#This Row],[Calculated HEFT_NC]]/Tabla13[[#This Row],[Real HEFT_NC]]</f>
        <v>0.97553799539776909</v>
      </c>
      <c r="AF139" s="6">
        <f>Tabla13[[#This Row],[Calculated HEFT_DNC]]/Tabla13[[#This Row],[Real HEFT_DNC]]</f>
        <v>0.99879889606402283</v>
      </c>
      <c r="AG139" s="6">
        <f>Tabla13[[#This Row],[Calculated GA_NC]]/Tabla13[[#This Row],[Real GA_NC]]</f>
        <v>0.96668777588827581</v>
      </c>
      <c r="AH139" s="6">
        <f>Tabla13[[#This Row],[Calculated GA_DNC]]/Tabla13[[#This Row],[Real GA_DNC]]</f>
        <v>0.99643609287986601</v>
      </c>
      <c r="AI139" s="6">
        <f>Tabla13[[#This Row],[Calculated HGA_(Ph2)]]/Tabla13[[#This Row],[Real HGA_(Ph2)]]</f>
        <v>0.9951444811290916</v>
      </c>
      <c r="AJ139" s="6">
        <f>Tabla13[[#This Row],[Calculated HGA_(Ph1)]]/Tabla13[[#This Row],[Real HGA_(Ph1)]]</f>
        <v>0.99512459407982579</v>
      </c>
      <c r="AK139" s="6">
        <f>Tabla13[[#This Row],[Calculated HGA^H]]/Tabla13[[#This Row],[Real GA^H]]</f>
        <v>0.9959172102081193</v>
      </c>
      <c r="AL139" s="6">
        <f>Tabla13[[#This Row],[Calculated HGA_(Ph2)^H]]/Tabla13[[#This Row],[Real HGA_(Ph2)^H]]</f>
        <v>0.99435818466690429</v>
      </c>
      <c r="AM139" s="6">
        <f>Tabla13[[#This Row],[Calculated HGA_(Ph1)^H]]/Tabla13[[#This Row],[Real HGA_(Ph1)^H]]</f>
        <v>0.99859858927802714</v>
      </c>
    </row>
    <row r="140" spans="1:39">
      <c r="A140" s="6" t="str">
        <f t="shared" si="36"/>
        <v>srasearch</v>
      </c>
      <c r="B140" t="s">
        <v>29</v>
      </c>
      <c r="C140">
        <f>_xlfn.XLOOKUP(B140,Instances!$B$2:$B$29,Instances!$A$2:$A$29,,0,1)</f>
        <v>104</v>
      </c>
      <c r="D140">
        <v>8</v>
      </c>
      <c r="E140">
        <v>7467.75</v>
      </c>
      <c r="F140">
        <v>7480.6499999999987</v>
      </c>
      <c r="G140">
        <v>7561.0299999999988</v>
      </c>
      <c r="H140">
        <v>7463.6009999999997</v>
      </c>
      <c r="I140">
        <v>7444.1170000000002</v>
      </c>
      <c r="J140">
        <v>7706.9339999999993</v>
      </c>
      <c r="K140">
        <v>7463.2939999999999</v>
      </c>
      <c r="L140">
        <v>7459.1740000000009</v>
      </c>
      <c r="M140">
        <v>7480.6499999999987</v>
      </c>
      <c r="N140" s="7">
        <f t="shared" si="37"/>
        <v>-1.7274279401424428E-3</v>
      </c>
      <c r="O140" s="1">
        <f t="shared" si="38"/>
        <v>-1.2491044826085346E-2</v>
      </c>
      <c r="P140" s="1">
        <f t="shared" si="39"/>
        <v>5.5558903284126302E-4</v>
      </c>
      <c r="Q140" s="1">
        <f t="shared" si="40"/>
        <v>3.1646747681697714E-3</v>
      </c>
      <c r="R140" s="1">
        <f t="shared" si="41"/>
        <v>-3.2028924374811592E-2</v>
      </c>
      <c r="S140" s="1">
        <f t="shared" si="42"/>
        <v>5.9669913963377602E-4</v>
      </c>
      <c r="T140" s="1">
        <f t="shared" si="43"/>
        <v>1.1484048073381022E-3</v>
      </c>
      <c r="U140" s="1">
        <f t="shared" si="44"/>
        <v>-1.7274279401424428E-3</v>
      </c>
      <c r="V140">
        <v>7229.01</v>
      </c>
      <c r="W140">
        <v>7398.1400000000012</v>
      </c>
      <c r="X140">
        <v>7290.4819999999991</v>
      </c>
      <c r="Y140">
        <v>7432.2369999999992</v>
      </c>
      <c r="Z140">
        <v>7395.5180000000009</v>
      </c>
      <c r="AA140">
        <v>7670.054000000001</v>
      </c>
      <c r="AB140">
        <v>7397.8130000000001</v>
      </c>
      <c r="AC140">
        <v>7394.0589999999993</v>
      </c>
      <c r="AD140">
        <v>7398.1400000000012</v>
      </c>
      <c r="AE140" s="6">
        <f>Tabla13[[#This Row],[Calculated HEFT_NC]]/Tabla13[[#This Row],[Real HEFT_NC]]</f>
        <v>0.96803053128452343</v>
      </c>
      <c r="AF140" s="6">
        <f>Tabla13[[#This Row],[Calculated HEFT_DNC]]/Tabla13[[#This Row],[Real HEFT_DNC]]</f>
        <v>0.98897020980797157</v>
      </c>
      <c r="AG140" s="6">
        <f>Tabla13[[#This Row],[Calculated GA_NC]]/Tabla13[[#This Row],[Real GA_NC]]</f>
        <v>0.96421810256010099</v>
      </c>
      <c r="AH140" s="6">
        <f>Tabla13[[#This Row],[Calculated GA_DNC]]/Tabla13[[#This Row],[Real GA_DNC]]</f>
        <v>0.99579773891985912</v>
      </c>
      <c r="AI140" s="6">
        <f>Tabla13[[#This Row],[Calculated HGA_(Ph2)]]/Tabla13[[#This Row],[Real HGA_(Ph2)]]</f>
        <v>0.99347148896235793</v>
      </c>
      <c r="AJ140" s="6">
        <f>Tabla13[[#This Row],[Calculated HGA_(Ph1)]]/Tabla13[[#This Row],[Real HGA_(Ph1)]]</f>
        <v>0.99521469886727998</v>
      </c>
      <c r="AK140" s="6">
        <f>Tabla13[[#This Row],[Calculated HGA^H]]/Tabla13[[#This Row],[Real GA^H]]</f>
        <v>0.99122626014732906</v>
      </c>
      <c r="AL140" s="6">
        <f>Tabla13[[#This Row],[Calculated HGA_(Ph2)^H]]/Tabla13[[#This Row],[Real HGA_(Ph2)^H]]</f>
        <v>0.99127048115515182</v>
      </c>
      <c r="AM140" s="6">
        <f>Tabla13[[#This Row],[Calculated HGA_(Ph1)^H]]/Tabla13[[#This Row],[Real HGA_(Ph1)^H]]</f>
        <v>0.98897020980797157</v>
      </c>
    </row>
    <row r="141" spans="1:39">
      <c r="A141" s="6" t="str">
        <f t="shared" si="36"/>
        <v>srasearch</v>
      </c>
      <c r="B141" t="s">
        <v>29</v>
      </c>
      <c r="C141">
        <f>_xlfn.XLOOKUP(B141,Instances!$B$2:$B$29,Instances!$A$2:$A$29,,0,1)</f>
        <v>104</v>
      </c>
      <c r="D141">
        <v>16</v>
      </c>
      <c r="E141">
        <v>3781.1999999999989</v>
      </c>
      <c r="F141">
        <v>3760.71</v>
      </c>
      <c r="G141">
        <v>4027.174</v>
      </c>
      <c r="H141">
        <v>4030.8989999999999</v>
      </c>
      <c r="I141">
        <v>3738.7370000000001</v>
      </c>
      <c r="J141">
        <v>4112.4160000000002</v>
      </c>
      <c r="K141">
        <v>3774.319</v>
      </c>
      <c r="L141">
        <v>3742.143</v>
      </c>
      <c r="M141">
        <v>3760.71</v>
      </c>
      <c r="N141" s="7">
        <f t="shared" si="37"/>
        <v>5.4189146302758059E-3</v>
      </c>
      <c r="O141" s="1">
        <f t="shared" si="38"/>
        <v>-6.5051835396170835E-2</v>
      </c>
      <c r="P141" s="1">
        <f t="shared" si="39"/>
        <v>-6.6036972389717827E-2</v>
      </c>
      <c r="Q141" s="1">
        <f t="shared" si="40"/>
        <v>1.1230032793821761E-2</v>
      </c>
      <c r="R141" s="1">
        <f t="shared" si="41"/>
        <v>-8.7595472336824645E-2</v>
      </c>
      <c r="S141" s="1">
        <f t="shared" si="42"/>
        <v>1.8197926584150404E-3</v>
      </c>
      <c r="T141" s="1">
        <f t="shared" si="43"/>
        <v>1.0329260552205356E-2</v>
      </c>
      <c r="U141" s="1">
        <f t="shared" si="44"/>
        <v>5.4189146302758059E-3</v>
      </c>
      <c r="V141">
        <v>3732.21</v>
      </c>
      <c r="W141">
        <v>3760.08</v>
      </c>
      <c r="X141">
        <v>3958.5830000000001</v>
      </c>
      <c r="Y141">
        <v>4029.4820000000009</v>
      </c>
      <c r="Z141">
        <v>3712.7190000000001</v>
      </c>
      <c r="AA141">
        <v>4099.4189999999999</v>
      </c>
      <c r="AB141">
        <v>3760.08</v>
      </c>
      <c r="AC141">
        <v>3699.7759999999998</v>
      </c>
      <c r="AD141">
        <v>3760.08</v>
      </c>
      <c r="AE141" s="6">
        <f>Tabla13[[#This Row],[Calculated HEFT_NC]]/Tabla13[[#This Row],[Real HEFT_NC]]</f>
        <v>0.9870437956204382</v>
      </c>
      <c r="AF141" s="6">
        <f>Tabla13[[#This Row],[Calculated HEFT_DNC]]/Tabla13[[#This Row],[Real HEFT_DNC]]</f>
        <v>0.99983247844157086</v>
      </c>
      <c r="AG141" s="6">
        <f>Tabla13[[#This Row],[Calculated GA_NC]]/Tabla13[[#This Row],[Real GA_NC]]</f>
        <v>0.9829679571828781</v>
      </c>
      <c r="AH141" s="6">
        <f>Tabla13[[#This Row],[Calculated GA_DNC]]/Tabla13[[#This Row],[Real GA_DNC]]</f>
        <v>0.9996484655160055</v>
      </c>
      <c r="AI141" s="6">
        <f>Tabla13[[#This Row],[Calculated HGA_(Ph2)]]/Tabla13[[#This Row],[Real HGA_(Ph2)]]</f>
        <v>0.99304096543832854</v>
      </c>
      <c r="AJ141" s="6">
        <f>Tabla13[[#This Row],[Calculated HGA_(Ph1)]]/Tabla13[[#This Row],[Real HGA_(Ph1)]]</f>
        <v>0.99683957070490914</v>
      </c>
      <c r="AK141" s="6">
        <f>Tabla13[[#This Row],[Calculated HGA^H]]/Tabla13[[#This Row],[Real GA^H]]</f>
        <v>0.99622739890295442</v>
      </c>
      <c r="AL141" s="6">
        <f>Tabla13[[#This Row],[Calculated HGA_(Ph2)^H]]/Tabla13[[#This Row],[Real HGA_(Ph2)^H]]</f>
        <v>0.98867841234287412</v>
      </c>
      <c r="AM141" s="6">
        <f>Tabla13[[#This Row],[Calculated HGA_(Ph1)^H]]/Tabla13[[#This Row],[Real HGA_(Ph1)^H]]</f>
        <v>0.99983247844157086</v>
      </c>
    </row>
    <row r="142" spans="1:39">
      <c r="T142" s="2" t="e">
        <f>COUNTIF(#REF!, "&lt;0")</f>
        <v>#REF!</v>
      </c>
      <c r="U142" s="2" t="e">
        <f>COUNTIF(#REF!, "&lt;0")</f>
        <v>#REF!</v>
      </c>
      <c r="V142" s="2" t="e">
        <f>COUNTIF(#REF!, "&lt;0")</f>
        <v>#REF!</v>
      </c>
      <c r="W142" s="2" t="e">
        <f>COUNTIF(#REF!, "&lt;0")</f>
        <v>#REF!</v>
      </c>
      <c r="X142" s="2" t="e">
        <f>COUNTIF(#REF!, "&gt;0")</f>
        <v>#REF!</v>
      </c>
    </row>
    <row r="143" spans="1:39">
      <c r="T143" s="2" t="e">
        <f>COUNTIF(#REF!, "&gt;0")</f>
        <v>#REF!</v>
      </c>
      <c r="U143" s="2" t="e">
        <f>COUNTIF(#REF!, "&gt;0")</f>
        <v>#REF!</v>
      </c>
      <c r="V143" s="2" t="e">
        <f>COUNTIF(#REF!, "&gt;0")</f>
        <v>#REF!</v>
      </c>
      <c r="W143" s="2" t="e">
        <f>COUNTIF(#REF!, "&gt;0")</f>
        <v>#REF!</v>
      </c>
      <c r="X143" s="2" t="e">
        <f>COUNTIF(#REF!, "&lt;0")</f>
        <v>#REF!</v>
      </c>
    </row>
  </sheetData>
  <phoneticPr fontId="3" type="noConversion"/>
  <conditionalFormatting sqref="T142:V1048576 W142:W143">
    <cfRule type="cellIs" dxfId="24" priority="3" operator="lessThan">
      <formula>0</formula>
    </cfRule>
  </conditionalFormatting>
  <conditionalFormatting sqref="X142">
    <cfRule type="cellIs" dxfId="23" priority="2" operator="lessThan">
      <formula>0</formula>
    </cfRule>
  </conditionalFormatting>
  <conditionalFormatting sqref="X143">
    <cfRule type="cellIs" dxfId="22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A0DAA-1C43-4B33-BA63-3AEBB0128B0E}">
  <dimension ref="A1:U46"/>
  <sheetViews>
    <sheetView workbookViewId="0">
      <selection activeCell="N43" sqref="N43"/>
    </sheetView>
  </sheetViews>
  <sheetFormatPr defaultColWidth="11.42578125" defaultRowHeight="15"/>
  <cols>
    <col min="1" max="1" width="17.5703125" bestFit="1" customWidth="1"/>
    <col min="2" max="2" width="8.85546875" bestFit="1" customWidth="1"/>
    <col min="3" max="3" width="10.140625" bestFit="1" customWidth="1"/>
    <col min="4" max="4" width="7.28515625" bestFit="1" customWidth="1"/>
    <col min="5" max="6" width="12" bestFit="1" customWidth="1"/>
    <col min="7" max="7" width="11" bestFit="1" customWidth="1"/>
    <col min="8" max="8" width="12" bestFit="1" customWidth="1"/>
    <col min="9" max="10" width="13" bestFit="1" customWidth="1"/>
    <col min="13" max="13" width="8.85546875" bestFit="1" customWidth="1"/>
    <col min="14" max="14" width="10.140625" bestFit="1" customWidth="1"/>
    <col min="15" max="15" width="7.28515625" bestFit="1" customWidth="1"/>
    <col min="16" max="16" width="8.5703125" bestFit="1" customWidth="1"/>
    <col min="17" max="18" width="10.7109375" bestFit="1" customWidth="1"/>
    <col min="19" max="19" width="9.42578125" customWidth="1"/>
    <col min="20" max="21" width="13" bestFit="1" customWidth="1"/>
  </cols>
  <sheetData>
    <row r="1" spans="1:21">
      <c r="M1" t="s">
        <v>68</v>
      </c>
    </row>
    <row r="3" spans="1:21">
      <c r="A3" s="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M3" s="12" t="s">
        <v>70</v>
      </c>
      <c r="N3" s="12" t="s">
        <v>71</v>
      </c>
      <c r="O3" s="12" t="s">
        <v>72</v>
      </c>
      <c r="P3" s="12" t="s">
        <v>73</v>
      </c>
      <c r="Q3" s="12" t="s">
        <v>74</v>
      </c>
      <c r="R3" s="12" t="s">
        <v>75</v>
      </c>
      <c r="S3" s="12" t="s">
        <v>76</v>
      </c>
      <c r="T3" s="12" t="s">
        <v>77</v>
      </c>
      <c r="U3" s="12" t="s">
        <v>78</v>
      </c>
    </row>
    <row r="4" spans="1:21">
      <c r="A4" s="4" t="s">
        <v>79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 t="str">
        <f>A4</f>
        <v>seismology</v>
      </c>
      <c r="M4" s="1">
        <f>MIN(B5,B6,B7,B8,B9)</f>
        <v>0.99655310511725814</v>
      </c>
      <c r="N4" s="1">
        <f>MIN(C5,C6,C7,C8,C9)</f>
        <v>0.998400839188608</v>
      </c>
      <c r="O4" s="1">
        <f>MIN(D5,D6,D7,D8,D9)</f>
        <v>0.99659687314172596</v>
      </c>
      <c r="P4" s="1">
        <f t="shared" ref="P4:U4" si="0">MIN(E5,E6,E7,E8,E9)</f>
        <v>0.99841529709357313</v>
      </c>
      <c r="Q4" s="1">
        <f t="shared" si="0"/>
        <v>0.99844765041488559</v>
      </c>
      <c r="R4" s="1">
        <f t="shared" si="0"/>
        <v>0.99839073954092294</v>
      </c>
      <c r="S4" s="1">
        <f t="shared" si="0"/>
        <v>0.9984005990371525</v>
      </c>
      <c r="T4" s="1">
        <f t="shared" si="0"/>
        <v>0.998400839188608</v>
      </c>
      <c r="U4" s="1">
        <f t="shared" si="0"/>
        <v>0.99838826116299728</v>
      </c>
    </row>
    <row r="5" spans="1:21">
      <c r="A5" s="5">
        <v>1</v>
      </c>
      <c r="B5" s="11">
        <v>0.99965773809164993</v>
      </c>
      <c r="C5" s="11">
        <v>0.9999944476963315</v>
      </c>
      <c r="D5" s="11">
        <v>0.99965773809164993</v>
      </c>
      <c r="E5" s="11">
        <v>0.99999444769633161</v>
      </c>
      <c r="F5" s="11">
        <v>0.99999444769633161</v>
      </c>
      <c r="G5" s="11">
        <v>0.99999444769633161</v>
      </c>
      <c r="H5" s="11">
        <v>0.99999444769633161</v>
      </c>
      <c r="I5" s="11">
        <v>0.99999444769633161</v>
      </c>
      <c r="J5" s="11">
        <v>0.99999444769633161</v>
      </c>
    </row>
    <row r="6" spans="1:21">
      <c r="A6" s="5">
        <v>2</v>
      </c>
      <c r="B6" s="11">
        <v>0.99944597293251303</v>
      </c>
      <c r="C6" s="11">
        <v>0.99988908381655683</v>
      </c>
      <c r="D6" s="11">
        <v>0.99944355403990004</v>
      </c>
      <c r="E6" s="11">
        <v>0.99988591707505114</v>
      </c>
      <c r="F6" s="11">
        <v>0.99988600901233637</v>
      </c>
      <c r="G6" s="11">
        <v>0.9998864470774248</v>
      </c>
      <c r="H6" s="11">
        <v>0.99988583682976528</v>
      </c>
      <c r="I6" s="11">
        <v>0.99988625075251036</v>
      </c>
      <c r="J6" s="11">
        <v>0.99988657636675293</v>
      </c>
    </row>
    <row r="7" spans="1:21">
      <c r="A7" s="5">
        <v>4</v>
      </c>
      <c r="B7" s="11">
        <v>0.99902452150820631</v>
      </c>
      <c r="C7" s="11">
        <v>0.99967165452779772</v>
      </c>
      <c r="D7" s="11">
        <v>0.99902772711503396</v>
      </c>
      <c r="E7" s="11">
        <v>0.99967275553461699</v>
      </c>
      <c r="F7" s="11">
        <v>0.99967209549866709</v>
      </c>
      <c r="G7" s="11">
        <v>0.99967128865958799</v>
      </c>
      <c r="H7" s="11">
        <v>0.99967208098321791</v>
      </c>
      <c r="I7" s="11">
        <v>0.99967268086178795</v>
      </c>
      <c r="J7" s="11">
        <v>0.99967115203324608</v>
      </c>
    </row>
    <row r="8" spans="1:21">
      <c r="A8" s="5">
        <v>8</v>
      </c>
      <c r="B8" s="11">
        <v>0.99819236988966065</v>
      </c>
      <c r="C8" s="11">
        <v>0.99924730261379169</v>
      </c>
      <c r="D8" s="11">
        <v>0.99820570638656891</v>
      </c>
      <c r="E8" s="11">
        <v>0.99924452680369003</v>
      </c>
      <c r="F8" s="11">
        <v>0.99925024664828155</v>
      </c>
      <c r="G8" s="11">
        <v>0.99923822880682356</v>
      </c>
      <c r="H8" s="11">
        <v>0.99924354784018032</v>
      </c>
      <c r="I8" s="11">
        <v>0.99924652360940613</v>
      </c>
      <c r="J8" s="11">
        <v>0.99924194923485654</v>
      </c>
    </row>
    <row r="9" spans="1:21">
      <c r="A9" s="5">
        <v>16</v>
      </c>
      <c r="B9" s="11">
        <v>0.99655310511725814</v>
      </c>
      <c r="C9" s="11">
        <v>0.998400839188608</v>
      </c>
      <c r="D9" s="11">
        <v>0.99659687314172596</v>
      </c>
      <c r="E9" s="11">
        <v>0.99841529709357313</v>
      </c>
      <c r="F9" s="11">
        <v>0.99844765041488559</v>
      </c>
      <c r="G9" s="11">
        <v>0.99839073954092294</v>
      </c>
      <c r="H9" s="11">
        <v>0.9984005990371525</v>
      </c>
      <c r="I9" s="11">
        <v>0.998400839188608</v>
      </c>
      <c r="J9" s="11">
        <v>0.99838826116299728</v>
      </c>
    </row>
    <row r="10" spans="1:21">
      <c r="A10" s="4" t="s">
        <v>80</v>
      </c>
      <c r="B10" s="11"/>
      <c r="C10" s="11"/>
      <c r="D10" s="11"/>
      <c r="E10" s="11"/>
      <c r="F10" s="11"/>
      <c r="G10" s="11"/>
      <c r="H10" s="11"/>
      <c r="I10" s="11"/>
      <c r="J10" s="11"/>
      <c r="L10" s="11" t="str">
        <f>A10</f>
        <v>cycles</v>
      </c>
      <c r="M10" s="1">
        <f>MIN(B11,B12,B13,B14,B15)</f>
        <v>0.99590124909375577</v>
      </c>
      <c r="N10" s="1">
        <f>MIN(C11,C12,C13,C14,C15)</f>
        <v>0.99994626208428405</v>
      </c>
      <c r="O10" s="1">
        <f>MIN(D11,D12,D13,D14,D15)</f>
        <v>0.9956979568613491</v>
      </c>
      <c r="P10" s="1">
        <f t="shared" ref="P10" si="1">MIN(E11,E12,E13,E14,E15)</f>
        <v>0.99994523755475484</v>
      </c>
      <c r="Q10" s="1">
        <f t="shared" ref="Q10" si="2">MIN(F11,F12,F13,F14,F15)</f>
        <v>0.99994215139877629</v>
      </c>
      <c r="R10" s="1">
        <f t="shared" ref="R10" si="3">MIN(G11,G12,G13,G14,G15)</f>
        <v>0.99994143298405702</v>
      </c>
      <c r="S10" s="1">
        <f t="shared" ref="S10" si="4">MIN(H11,H12,H13,H14,H15)</f>
        <v>0.99994268280791876</v>
      </c>
      <c r="T10" s="1">
        <f t="shared" ref="T10" si="5">MIN(I11,I12,I13,I14,I15)</f>
        <v>0.99994236114422796</v>
      </c>
      <c r="U10" s="1">
        <f t="shared" ref="U10" si="6">MIN(J11,J12,J13,J14,J15)</f>
        <v>0.99994112764625565</v>
      </c>
    </row>
    <row r="11" spans="1:21">
      <c r="A11" s="5">
        <v>1</v>
      </c>
      <c r="B11" s="11">
        <v>0.99590124909375577</v>
      </c>
      <c r="C11" s="11">
        <v>0.99995145253530793</v>
      </c>
      <c r="D11" s="11">
        <v>0.99590124909375577</v>
      </c>
      <c r="E11" s="11">
        <v>0.99995145253530793</v>
      </c>
      <c r="F11" s="11">
        <v>0.99995145253530793</v>
      </c>
      <c r="G11" s="11">
        <v>0.99995145253530793</v>
      </c>
      <c r="H11" s="11">
        <v>0.99995145253530793</v>
      </c>
      <c r="I11" s="11">
        <v>0.99995145253530793</v>
      </c>
      <c r="J11" s="11">
        <v>0.99995145253530793</v>
      </c>
    </row>
    <row r="12" spans="1:21">
      <c r="A12" s="5">
        <v>2</v>
      </c>
      <c r="B12" s="11">
        <v>0.99597898559088327</v>
      </c>
      <c r="C12" s="11">
        <v>0.99994626208428405</v>
      </c>
      <c r="D12" s="11">
        <v>0.9956979568613491</v>
      </c>
      <c r="E12" s="11">
        <v>0.99994523755475484</v>
      </c>
      <c r="F12" s="11">
        <v>0.99994215139877629</v>
      </c>
      <c r="G12" s="11">
        <v>0.99994143298405702</v>
      </c>
      <c r="H12" s="11">
        <v>0.99994268280791876</v>
      </c>
      <c r="I12" s="11">
        <v>0.99994236114422796</v>
      </c>
      <c r="J12" s="11">
        <v>0.99994112764625565</v>
      </c>
    </row>
    <row r="13" spans="1:21">
      <c r="A13" s="5">
        <v>4</v>
      </c>
      <c r="B13" s="11">
        <v>0.9963434346692035</v>
      </c>
      <c r="C13" s="11">
        <v>0.99994702956004167</v>
      </c>
      <c r="D13" s="11">
        <v>0.99639498071268695</v>
      </c>
      <c r="E13" s="11">
        <v>0.9999491518285073</v>
      </c>
      <c r="F13" s="11">
        <v>0.99994534609034502</v>
      </c>
      <c r="G13" s="11">
        <v>0.99994803675468236</v>
      </c>
      <c r="H13" s="11">
        <v>0.99994742057193142</v>
      </c>
      <c r="I13" s="11">
        <v>0.99994449965895427</v>
      </c>
      <c r="J13" s="11">
        <v>0.99994524274257224</v>
      </c>
    </row>
    <row r="14" spans="1:21">
      <c r="A14" s="5">
        <v>8</v>
      </c>
      <c r="B14" s="11">
        <v>0.9966033682918759</v>
      </c>
      <c r="C14" s="11">
        <v>0.9999496509398238</v>
      </c>
      <c r="D14" s="11">
        <v>0.99683364261626539</v>
      </c>
      <c r="E14" s="11">
        <v>0.9999537307558839</v>
      </c>
      <c r="F14" s="11">
        <v>0.99994791769618407</v>
      </c>
      <c r="G14" s="11">
        <v>0.99995136848042609</v>
      </c>
      <c r="H14" s="11">
        <v>0.999948768019847</v>
      </c>
      <c r="I14" s="11">
        <v>0.9999496509398238</v>
      </c>
      <c r="J14" s="11">
        <v>0.99994441876407314</v>
      </c>
    </row>
    <row r="15" spans="1:21">
      <c r="A15" s="5">
        <v>16</v>
      </c>
      <c r="B15" s="11">
        <v>0.99737497859069446</v>
      </c>
      <c r="C15" s="11">
        <v>0.9999566287967423</v>
      </c>
      <c r="D15" s="11">
        <v>0.99765054331153058</v>
      </c>
      <c r="E15" s="11">
        <v>0.99995831302205918</v>
      </c>
      <c r="F15" s="11">
        <v>0.99994742114201929</v>
      </c>
      <c r="G15" s="11">
        <v>0.99995587761757299</v>
      </c>
      <c r="H15" s="11">
        <v>0.99995491937434555</v>
      </c>
      <c r="I15" s="11">
        <v>0.9999558649738397</v>
      </c>
      <c r="J15" s="11">
        <v>0.99995341153629025</v>
      </c>
    </row>
    <row r="16" spans="1:21">
      <c r="A16" s="4" t="s">
        <v>81</v>
      </c>
      <c r="B16" s="11"/>
      <c r="C16" s="11"/>
      <c r="D16" s="11"/>
      <c r="E16" s="11"/>
      <c r="F16" s="11"/>
      <c r="G16" s="11"/>
      <c r="H16" s="11"/>
      <c r="I16" s="11"/>
      <c r="J16" s="11"/>
      <c r="L16" s="11" t="str">
        <f>A16</f>
        <v>epigenomics</v>
      </c>
      <c r="M16" s="1">
        <f>MIN(B17,B18,B19,B20,B21)</f>
        <v>0.95465718471233796</v>
      </c>
      <c r="N16" s="1">
        <f>MIN(C17,C18,C19,C20,C21)</f>
        <v>0.9910709158175266</v>
      </c>
      <c r="O16" s="1">
        <f>MIN(D17,D18,D19,D20,D21)</f>
        <v>0.95691955145756735</v>
      </c>
      <c r="P16" s="1">
        <f t="shared" ref="P16" si="7">MIN(E17,E18,E19,E20,E21)</f>
        <v>0.98871959739445514</v>
      </c>
      <c r="Q16" s="1">
        <f t="shared" ref="Q16" si="8">MIN(F17,F18,F19,F20,F21)</f>
        <v>0.99165250412228745</v>
      </c>
      <c r="R16" s="1">
        <f t="shared" ref="R16" si="9">MIN(G17,G18,G19,G20,G21)</f>
        <v>0.98805872802873307</v>
      </c>
      <c r="S16" s="1">
        <f t="shared" ref="S16" si="10">MIN(H17,H18,H19,H20,H21)</f>
        <v>0.98817446103113293</v>
      </c>
      <c r="T16" s="1">
        <f t="shared" ref="T16" si="11">MIN(I17,I18,I19,I20,I21)</f>
        <v>0.99044055169350376</v>
      </c>
      <c r="U16" s="1">
        <f t="shared" ref="U16" si="12">MIN(J17,J18,J19,J20,J21)</f>
        <v>0.98760434247192586</v>
      </c>
    </row>
    <row r="17" spans="1:21">
      <c r="A17" s="5">
        <v>1</v>
      </c>
      <c r="B17" s="11">
        <v>0.98222985496889126</v>
      </c>
      <c r="C17" s="11">
        <v>0.99991469492533391</v>
      </c>
      <c r="D17" s="11">
        <v>0.98222890027120591</v>
      </c>
      <c r="E17" s="11">
        <v>0.99991469492533391</v>
      </c>
      <c r="F17" s="11">
        <v>0.99991469492533391</v>
      </c>
      <c r="G17" s="11">
        <v>0.99991469492533391</v>
      </c>
      <c r="H17" s="11">
        <v>0.99991469492533391</v>
      </c>
      <c r="I17" s="11">
        <v>0.99991469492533391</v>
      </c>
      <c r="J17" s="11">
        <v>0.99991469492533391</v>
      </c>
    </row>
    <row r="18" spans="1:21">
      <c r="A18" s="5">
        <v>2</v>
      </c>
      <c r="B18" s="11">
        <v>0.97841506468256401</v>
      </c>
      <c r="C18" s="11">
        <v>0.9979270266318061</v>
      </c>
      <c r="D18" s="11">
        <v>0.97897363267975757</v>
      </c>
      <c r="E18" s="11">
        <v>0.9977187419493444</v>
      </c>
      <c r="F18" s="11">
        <v>0.99763285345127173</v>
      </c>
      <c r="G18" s="11">
        <v>0.99786136313492857</v>
      </c>
      <c r="H18" s="11">
        <v>0.99771143438518117</v>
      </c>
      <c r="I18" s="11">
        <v>0.99782116097031992</v>
      </c>
      <c r="J18" s="11">
        <v>0.99796961748967095</v>
      </c>
    </row>
    <row r="19" spans="1:21">
      <c r="A19" s="5">
        <v>4</v>
      </c>
      <c r="B19" s="11">
        <v>0.97258694170406912</v>
      </c>
      <c r="C19" s="11">
        <v>0.99586741738807494</v>
      </c>
      <c r="D19" s="11">
        <v>0.97419691825820454</v>
      </c>
      <c r="E19" s="11">
        <v>0.99618974365571056</v>
      </c>
      <c r="F19" s="11">
        <v>0.99602647168427327</v>
      </c>
      <c r="G19" s="11">
        <v>0.99682775953375335</v>
      </c>
      <c r="H19" s="11">
        <v>0.99622833025311119</v>
      </c>
      <c r="I19" s="11">
        <v>0.99576997340670159</v>
      </c>
      <c r="J19" s="11">
        <v>0.99677775574705962</v>
      </c>
    </row>
    <row r="20" spans="1:21">
      <c r="A20" s="5">
        <v>8</v>
      </c>
      <c r="B20" s="11">
        <v>0.96578145824039785</v>
      </c>
      <c r="C20" s="11">
        <v>0.99391336279889231</v>
      </c>
      <c r="D20" s="11">
        <v>0.96722242063334884</v>
      </c>
      <c r="E20" s="11">
        <v>0.99450248118982487</v>
      </c>
      <c r="F20" s="11">
        <v>0.99448371204403829</v>
      </c>
      <c r="G20" s="11">
        <v>0.99475983315932281</v>
      </c>
      <c r="H20" s="11">
        <v>0.99394773013785498</v>
      </c>
      <c r="I20" s="11">
        <v>0.99339834082365941</v>
      </c>
      <c r="J20" s="11">
        <v>0.9947417290247933</v>
      </c>
    </row>
    <row r="21" spans="1:21">
      <c r="A21" s="5">
        <v>16</v>
      </c>
      <c r="B21" s="11">
        <v>0.95465718471233796</v>
      </c>
      <c r="C21" s="11">
        <v>0.9910709158175266</v>
      </c>
      <c r="D21" s="11">
        <v>0.95691955145756735</v>
      </c>
      <c r="E21" s="11">
        <v>0.98871959739445514</v>
      </c>
      <c r="F21" s="11">
        <v>0.99165250412228745</v>
      </c>
      <c r="G21" s="11">
        <v>0.98805872802873307</v>
      </c>
      <c r="H21" s="11">
        <v>0.98817446103113293</v>
      </c>
      <c r="I21" s="11">
        <v>0.99044055169350376</v>
      </c>
      <c r="J21" s="11">
        <v>0.98760434247192586</v>
      </c>
    </row>
    <row r="22" spans="1:21">
      <c r="A22" s="4" t="s">
        <v>82</v>
      </c>
      <c r="B22" s="11"/>
      <c r="C22" s="11"/>
      <c r="D22" s="11"/>
      <c r="E22" s="11"/>
      <c r="F22" s="11"/>
      <c r="G22" s="11"/>
      <c r="H22" s="11"/>
      <c r="I22" s="11"/>
      <c r="J22" s="11"/>
      <c r="L22" s="11" t="str">
        <f>A22</f>
        <v>srasearch</v>
      </c>
      <c r="M22" s="1">
        <f>MIN(B23,B24,B25,B26,B27)</f>
        <v>0.96817147338327469</v>
      </c>
      <c r="N22" s="1">
        <f>MIN(C23,C24,C25,C26,C27)</f>
        <v>0.99396194941295324</v>
      </c>
      <c r="O22" s="1">
        <f>MIN(D23,D24,D25,D26,D27)</f>
        <v>0.96092646856415687</v>
      </c>
      <c r="P22" s="1">
        <f t="shared" ref="P22" si="13">MIN(E23,E24,E25,E26,E27)</f>
        <v>0.99657060903415928</v>
      </c>
      <c r="Q22" s="1">
        <f t="shared" ref="Q22" si="14">MIN(F23,F24,F25,F26,F27)</f>
        <v>0.99497343200257982</v>
      </c>
      <c r="R22" s="1">
        <f t="shared" ref="R22" si="15">MIN(G23,G24,G25,G26,G27)</f>
        <v>0.99337602956173654</v>
      </c>
      <c r="S22" s="1">
        <f t="shared" ref="S22" si="16">MIN(H23,H24,H25,H26,H27)</f>
        <v>0.99394466881313015</v>
      </c>
      <c r="T22" s="1">
        <f t="shared" ref="T22" si="17">MIN(I23,I24,I25,I26,I27)</f>
        <v>0.99258517810110725</v>
      </c>
      <c r="U22" s="1">
        <f t="shared" ref="U22" si="18">MIN(J23,J24,J25,J26,J27)</f>
        <v>0.99341434504902937</v>
      </c>
    </row>
    <row r="23" spans="1:21">
      <c r="A23" s="5">
        <v>1</v>
      </c>
      <c r="B23" s="11">
        <v>0.97211697102312256</v>
      </c>
      <c r="C23" s="11">
        <v>0.99999628569170684</v>
      </c>
      <c r="D23" s="11">
        <v>0.97211697102312256</v>
      </c>
      <c r="E23" s="11">
        <v>0.99999628569170684</v>
      </c>
      <c r="F23" s="11">
        <v>0.99999628569170684</v>
      </c>
      <c r="G23" s="11">
        <v>0.99999628569170684</v>
      </c>
      <c r="H23" s="11">
        <v>0.99999628569170684</v>
      </c>
      <c r="I23" s="11">
        <v>0.99999628569170684</v>
      </c>
      <c r="J23" s="11">
        <v>0.99999628569170684</v>
      </c>
    </row>
    <row r="24" spans="1:21">
      <c r="A24" s="5">
        <v>2</v>
      </c>
      <c r="B24" s="11">
        <v>0.96817147338327469</v>
      </c>
      <c r="C24" s="11">
        <v>0.99581178764663958</v>
      </c>
      <c r="D24" s="11">
        <v>0.96767359741271253</v>
      </c>
      <c r="E24" s="11">
        <v>0.99832045354411192</v>
      </c>
      <c r="F24" s="11">
        <v>0.99534761716327158</v>
      </c>
      <c r="G24" s="11">
        <v>0.99725496754743037</v>
      </c>
      <c r="H24" s="11">
        <v>0.99792428702997715</v>
      </c>
      <c r="I24" s="11">
        <v>0.99593678259935425</v>
      </c>
      <c r="J24" s="11">
        <v>0.99672271883727714</v>
      </c>
    </row>
    <row r="25" spans="1:21">
      <c r="A25" s="5">
        <v>4</v>
      </c>
      <c r="B25" s="11">
        <v>0.9739181698381697</v>
      </c>
      <c r="C25" s="11">
        <v>0.99696191688149716</v>
      </c>
      <c r="D25" s="11">
        <v>0.96092646856415687</v>
      </c>
      <c r="E25" s="11">
        <v>0.99657060903415928</v>
      </c>
      <c r="F25" s="11">
        <v>0.99606008693521986</v>
      </c>
      <c r="G25" s="11">
        <v>0.99337602956173654</v>
      </c>
      <c r="H25" s="11">
        <v>0.99478796753851417</v>
      </c>
      <c r="I25" s="11">
        <v>0.99657730971805414</v>
      </c>
      <c r="J25" s="11">
        <v>0.99341434504902937</v>
      </c>
    </row>
    <row r="26" spans="1:21">
      <c r="A26" s="5">
        <v>8</v>
      </c>
      <c r="B26" s="11">
        <v>0.97232896805873303</v>
      </c>
      <c r="C26" s="11">
        <v>0.99396194941295324</v>
      </c>
      <c r="D26" s="11">
        <v>0.97135128019722927</v>
      </c>
      <c r="E26" s="11">
        <v>0.99783551907548951</v>
      </c>
      <c r="F26" s="11">
        <v>0.99497343200257982</v>
      </c>
      <c r="G26" s="11">
        <v>0.99516066594275143</v>
      </c>
      <c r="H26" s="11">
        <v>0.99394466881313015</v>
      </c>
      <c r="I26" s="11">
        <v>0.99258517810110725</v>
      </c>
      <c r="J26" s="11">
        <v>0.994180207662687</v>
      </c>
    </row>
    <row r="27" spans="1:21">
      <c r="A27" s="5">
        <v>16</v>
      </c>
      <c r="B27" s="11">
        <v>0.97278162190035489</v>
      </c>
      <c r="C27" s="11">
        <v>0.99882152378815392</v>
      </c>
      <c r="D27" s="11">
        <v>0.97153216816725951</v>
      </c>
      <c r="E27" s="11">
        <v>0.99673750040001596</v>
      </c>
      <c r="F27" s="11">
        <v>0.9953194594223046</v>
      </c>
      <c r="G27" s="11">
        <v>0.99563810043483714</v>
      </c>
      <c r="H27" s="11">
        <v>0.99484443266335454</v>
      </c>
      <c r="I27" s="11">
        <v>0.99545654991516641</v>
      </c>
      <c r="J27" s="11">
        <v>0.99396531242680064</v>
      </c>
    </row>
    <row r="28" spans="1:21">
      <c r="A28" s="4" t="s">
        <v>83</v>
      </c>
      <c r="B28" s="11"/>
      <c r="C28" s="11"/>
      <c r="D28" s="11"/>
      <c r="E28" s="11"/>
      <c r="F28" s="11"/>
      <c r="G28" s="11"/>
      <c r="H28" s="11"/>
      <c r="I28" s="11"/>
      <c r="J28" s="11"/>
      <c r="L28" s="11" t="str">
        <f>A28</f>
        <v>montage</v>
      </c>
      <c r="M28" s="1">
        <f>MIN(B29,B30,B31,B32,B33)</f>
        <v>0.86970585092330144</v>
      </c>
      <c r="N28" s="1">
        <f>MIN(C29,C30,C31,C32,C33)</f>
        <v>0.94897297689760762</v>
      </c>
      <c r="O28" s="1">
        <f>MIN(D29,D30,D31,D32,D33)</f>
        <v>0.9235943469351362</v>
      </c>
      <c r="P28" s="1">
        <f t="shared" ref="P28" si="19">MIN(E29,E30,E31,E32,E33)</f>
        <v>0.95904750189965204</v>
      </c>
      <c r="Q28" s="1">
        <f t="shared" ref="Q28" si="20">MIN(F29,F30,F31,F32,F33)</f>
        <v>0.95082337698429309</v>
      </c>
      <c r="R28" s="1">
        <f t="shared" ref="R28" si="21">MIN(G29,G30,G31,G32,G33)</f>
        <v>0.9491268134017351</v>
      </c>
      <c r="S28" s="1">
        <f t="shared" ref="S28" si="22">MIN(H29,H30,H31,H32,H33)</f>
        <v>0.95041437050723099</v>
      </c>
      <c r="T28" s="1">
        <f t="shared" ref="T28" si="23">MIN(I29,I30,I31,I32,I33)</f>
        <v>0.94623810444352685</v>
      </c>
      <c r="U28" s="1">
        <f t="shared" ref="U28" si="24">MIN(J29,J30,J31,J32,J33)</f>
        <v>0.94514258972747978</v>
      </c>
    </row>
    <row r="29" spans="1:21">
      <c r="A29" s="5">
        <v>1</v>
      </c>
      <c r="B29" s="11">
        <v>0.96429150847985323</v>
      </c>
      <c r="C29" s="11">
        <v>0.99979053192078193</v>
      </c>
      <c r="D29" s="11">
        <v>0.96429150847985323</v>
      </c>
      <c r="E29" s="11">
        <v>0.99979053192078193</v>
      </c>
      <c r="F29" s="11">
        <v>0.99979053192078193</v>
      </c>
      <c r="G29" s="11">
        <v>0.99979053192078193</v>
      </c>
      <c r="H29" s="11">
        <v>0.99979053192078193</v>
      </c>
      <c r="I29" s="11">
        <v>0.99979053192078193</v>
      </c>
      <c r="J29" s="11">
        <v>0.99979053192078193</v>
      </c>
    </row>
    <row r="30" spans="1:21">
      <c r="A30" s="5">
        <v>2</v>
      </c>
      <c r="B30" s="11">
        <v>0.94665033968677315</v>
      </c>
      <c r="C30" s="11">
        <v>0.98102977285788728</v>
      </c>
      <c r="D30" s="11">
        <v>0.94227982549843881</v>
      </c>
      <c r="E30" s="11">
        <v>0.98247057996464604</v>
      </c>
      <c r="F30" s="11">
        <v>0.98163842180775751</v>
      </c>
      <c r="G30" s="11">
        <v>0.98187732470646227</v>
      </c>
      <c r="H30" s="11">
        <v>0.9797150095009739</v>
      </c>
      <c r="I30" s="11">
        <v>0.98124342564190514</v>
      </c>
      <c r="J30" s="11">
        <v>0.979051608418819</v>
      </c>
    </row>
    <row r="31" spans="1:21">
      <c r="A31" s="5">
        <v>4</v>
      </c>
      <c r="B31" s="11">
        <v>0.92659920856559386</v>
      </c>
      <c r="C31" s="11">
        <v>0.96576869053024439</v>
      </c>
      <c r="D31" s="11">
        <v>0.93755794940188508</v>
      </c>
      <c r="E31" s="11">
        <v>0.970976524732452</v>
      </c>
      <c r="F31" s="11">
        <v>0.96781284905592935</v>
      </c>
      <c r="G31" s="11">
        <v>0.9712424674292921</v>
      </c>
      <c r="H31" s="11">
        <v>0.96631484908900711</v>
      </c>
      <c r="I31" s="11">
        <v>0.96559563230033008</v>
      </c>
      <c r="J31" s="11">
        <v>0.96778169187965524</v>
      </c>
    </row>
    <row r="32" spans="1:21">
      <c r="A32" s="5">
        <v>8</v>
      </c>
      <c r="B32" s="11">
        <v>0.88666767609116137</v>
      </c>
      <c r="C32" s="11">
        <v>0.951577486704132</v>
      </c>
      <c r="D32" s="11">
        <v>0.92735119121599452</v>
      </c>
      <c r="E32" s="11">
        <v>0.9630706348857796</v>
      </c>
      <c r="F32" s="11">
        <v>0.9582208969533379</v>
      </c>
      <c r="G32" s="11">
        <v>0.96203891775959938</v>
      </c>
      <c r="H32" s="11">
        <v>0.95604396486326204</v>
      </c>
      <c r="I32" s="11">
        <v>0.951577486704132</v>
      </c>
      <c r="J32" s="11">
        <v>0.95635457444569882</v>
      </c>
    </row>
    <row r="33" spans="1:21">
      <c r="A33" s="5">
        <v>16</v>
      </c>
      <c r="B33" s="11">
        <v>0.86970585092330144</v>
      </c>
      <c r="C33" s="11">
        <v>0.94897297689760762</v>
      </c>
      <c r="D33" s="11">
        <v>0.9235943469351362</v>
      </c>
      <c r="E33" s="11">
        <v>0.95904750189965204</v>
      </c>
      <c r="F33" s="11">
        <v>0.95082337698429309</v>
      </c>
      <c r="G33" s="11">
        <v>0.9491268134017351</v>
      </c>
      <c r="H33" s="11">
        <v>0.95041437050723099</v>
      </c>
      <c r="I33" s="11">
        <v>0.94623810444352685</v>
      </c>
      <c r="J33" s="11">
        <v>0.94514258972747978</v>
      </c>
    </row>
    <row r="34" spans="1:21">
      <c r="A34" s="4" t="s">
        <v>84</v>
      </c>
      <c r="B34" s="11"/>
      <c r="C34" s="11"/>
      <c r="D34" s="11"/>
      <c r="E34" s="11"/>
      <c r="F34" s="11"/>
      <c r="G34" s="11"/>
      <c r="H34" s="11"/>
      <c r="I34" s="11"/>
      <c r="J34" s="11"/>
      <c r="L34" s="11" t="str">
        <f>A34</f>
        <v>soykb</v>
      </c>
      <c r="M34" s="1">
        <f>MIN(B35,B36,B37,B38,B39)</f>
        <v>0.87076147812777505</v>
      </c>
      <c r="N34" s="1">
        <f>MIN(C35,C36,C37,C38,C39)</f>
        <v>0.99997583669563173</v>
      </c>
      <c r="O34" s="1">
        <f>MIN(D35,D36,D37,D38,D39)</f>
        <v>0.87076147812777505</v>
      </c>
      <c r="P34" s="1">
        <f t="shared" ref="P34" si="25">MIN(E35,E36,E37,E38,E39)</f>
        <v>0.99997748546659948</v>
      </c>
      <c r="Q34" s="1">
        <f t="shared" ref="Q34" si="26">MIN(F35,F36,F37,F38,F39)</f>
        <v>0.99997841811779042</v>
      </c>
      <c r="R34" s="1">
        <f t="shared" ref="R34" si="27">MIN(G35,G36,G37,G38,G39)</f>
        <v>0.99997527762413474</v>
      </c>
      <c r="S34" s="1">
        <f t="shared" ref="S34" si="28">MIN(H35,H36,H37,H38,H39)</f>
        <v>0.99997689124278222</v>
      </c>
      <c r="T34" s="1">
        <f t="shared" ref="T34" si="29">MIN(I35,I36,I37,I38,I39)</f>
        <v>0.99997583669563173</v>
      </c>
      <c r="U34" s="1">
        <f t="shared" ref="U34" si="30">MIN(J35,J36,J37,J38,J39)</f>
        <v>0.99997417309858816</v>
      </c>
    </row>
    <row r="35" spans="1:21">
      <c r="A35" s="5">
        <v>1</v>
      </c>
      <c r="B35" s="11">
        <v>0.87076147812777505</v>
      </c>
      <c r="C35" s="11">
        <v>0.99998808398730565</v>
      </c>
      <c r="D35" s="11">
        <v>0.87076147812777505</v>
      </c>
      <c r="E35" s="11">
        <v>0.99998808398730565</v>
      </c>
      <c r="F35" s="11">
        <v>0.99998808398730565</v>
      </c>
      <c r="G35" s="11">
        <v>0.99998808398730565</v>
      </c>
      <c r="H35" s="11">
        <v>0.99998808398730565</v>
      </c>
      <c r="I35" s="11">
        <v>0.99998808398730565</v>
      </c>
      <c r="J35" s="11">
        <v>0.99998808398730565</v>
      </c>
    </row>
    <row r="36" spans="1:21">
      <c r="A36" s="5">
        <v>2</v>
      </c>
      <c r="B36" s="11">
        <v>0.89616674920931683</v>
      </c>
      <c r="C36" s="11">
        <v>0.99998194306343258</v>
      </c>
      <c r="D36" s="11">
        <v>0.89470286357810402</v>
      </c>
      <c r="E36" s="11">
        <v>0.99997978263472798</v>
      </c>
      <c r="F36" s="11">
        <v>0.99998038934291167</v>
      </c>
      <c r="G36" s="11">
        <v>0.99997934095265728</v>
      </c>
      <c r="H36" s="11">
        <v>0.99997956332965199</v>
      </c>
      <c r="I36" s="11">
        <v>0.99998140911062749</v>
      </c>
      <c r="J36" s="11">
        <v>0.99997901332885508</v>
      </c>
    </row>
    <row r="37" spans="1:21">
      <c r="A37" s="5">
        <v>4</v>
      </c>
      <c r="B37" s="11">
        <v>0.92071865965721078</v>
      </c>
      <c r="C37" s="11">
        <v>0.99997730111950711</v>
      </c>
      <c r="D37" s="11">
        <v>0.9206865822853495</v>
      </c>
      <c r="E37" s="11">
        <v>0.99997815533827183</v>
      </c>
      <c r="F37" s="11">
        <v>0.99997870464139749</v>
      </c>
      <c r="G37" s="11">
        <v>0.99997776385539572</v>
      </c>
      <c r="H37" s="11">
        <v>0.99997689124278222</v>
      </c>
      <c r="I37" s="11">
        <v>0.99997730111950711</v>
      </c>
      <c r="J37" s="11">
        <v>0.99997632762724376</v>
      </c>
    </row>
    <row r="38" spans="1:21">
      <c r="A38" s="5">
        <v>8</v>
      </c>
      <c r="B38" s="11">
        <v>0.94664943249988343</v>
      </c>
      <c r="C38" s="11">
        <v>0.99997583669563173</v>
      </c>
      <c r="D38" s="11">
        <v>0.94402481608604671</v>
      </c>
      <c r="E38" s="11">
        <v>0.99997748546659948</v>
      </c>
      <c r="F38" s="11">
        <v>0.99997914459859927</v>
      </c>
      <c r="G38" s="11">
        <v>0.99997581826585458</v>
      </c>
      <c r="H38" s="11">
        <v>0.99997709303038174</v>
      </c>
      <c r="I38" s="11">
        <v>0.99997583669563173</v>
      </c>
      <c r="J38" s="11">
        <v>0.99997462996110686</v>
      </c>
    </row>
    <row r="39" spans="1:21">
      <c r="A39" s="5">
        <v>16</v>
      </c>
      <c r="B39" s="11">
        <v>0.96223383786705896</v>
      </c>
      <c r="C39" s="11">
        <v>0.99997799452697511</v>
      </c>
      <c r="D39" s="11">
        <v>0.96011036877400346</v>
      </c>
      <c r="E39" s="11">
        <v>0.99997830958247169</v>
      </c>
      <c r="F39" s="11">
        <v>0.99997841811779042</v>
      </c>
      <c r="G39" s="11">
        <v>0.99997527762413474</v>
      </c>
      <c r="H39" s="11">
        <v>0.99997836615158686</v>
      </c>
      <c r="I39" s="11">
        <v>0.999977994526975</v>
      </c>
      <c r="J39" s="11">
        <v>0.99997417309858816</v>
      </c>
    </row>
    <row r="40" spans="1:21">
      <c r="A40" s="4" t="s">
        <v>85</v>
      </c>
      <c r="B40" s="11"/>
      <c r="C40" s="11"/>
      <c r="D40" s="11"/>
      <c r="E40" s="11"/>
      <c r="F40" s="11"/>
      <c r="G40" s="11"/>
      <c r="H40" s="11"/>
      <c r="I40" s="11"/>
      <c r="J40" s="11"/>
      <c r="L40" s="11" t="str">
        <f>A40</f>
        <v>1000genome</v>
      </c>
      <c r="M40" s="1">
        <f>MIN(B41,B42,B43,B44,B45)</f>
        <v>0.81336256292482756</v>
      </c>
      <c r="N40" s="1">
        <f>MIN(C41,C42,C43,C44,C45)</f>
        <v>0.99994632226162072</v>
      </c>
      <c r="O40" s="1">
        <f>MIN(D41,D42,D43,D44,D45)</f>
        <v>0.80785770336958096</v>
      </c>
      <c r="P40" s="1">
        <f t="shared" ref="P40" si="31">MIN(E41,E42,E43,E44,E45)</f>
        <v>0.99992805796559592</v>
      </c>
      <c r="Q40" s="1">
        <f t="shared" ref="Q40" si="32">MIN(F41,F42,F43,F44,F45)</f>
        <v>0.99993499681968701</v>
      </c>
      <c r="R40" s="1">
        <f t="shared" ref="R40" si="33">MIN(G41,G42,G43,G44,G45)</f>
        <v>0.99994980047817772</v>
      </c>
      <c r="S40" s="1">
        <f t="shared" ref="S40" si="34">MIN(H41,H42,H43,H44,H45)</f>
        <v>0.99995870869669223</v>
      </c>
      <c r="T40" s="1">
        <f t="shared" ref="T40" si="35">MIN(I41,I42,I43,I44,I45)</f>
        <v>0.99994557028529163</v>
      </c>
      <c r="U40" s="1">
        <f t="shared" ref="U40" si="36">MIN(J41,J42,J43,J44,J45)</f>
        <v>0.99993881235297088</v>
      </c>
    </row>
    <row r="41" spans="1:21">
      <c r="A41" s="13">
        <v>1</v>
      </c>
      <c r="B41" s="8">
        <v>0.81451830601348307</v>
      </c>
      <c r="C41" s="8">
        <v>0.99999743364315985</v>
      </c>
      <c r="D41" s="8">
        <v>0.81451830601348307</v>
      </c>
      <c r="E41" s="8">
        <v>0.99999743364315985</v>
      </c>
      <c r="F41" s="8">
        <v>0.99999743364315985</v>
      </c>
      <c r="G41" s="8">
        <v>0.99999743364315985</v>
      </c>
      <c r="H41" s="8">
        <v>0.99999743364315985</v>
      </c>
      <c r="I41" s="8">
        <v>0.99999743364315985</v>
      </c>
      <c r="J41" s="8">
        <v>0.99999743364315985</v>
      </c>
    </row>
    <row r="42" spans="1:21">
      <c r="A42" s="13">
        <v>2</v>
      </c>
      <c r="B42" s="8">
        <v>0.81336256292482756</v>
      </c>
      <c r="C42" s="8">
        <v>0.99997424534322132</v>
      </c>
      <c r="D42" s="8">
        <v>0.81297367270694765</v>
      </c>
      <c r="E42" s="8">
        <v>0.99997517688747872</v>
      </c>
      <c r="F42" s="8">
        <v>0.99997881955152457</v>
      </c>
      <c r="G42" s="8">
        <v>0.99997383006960927</v>
      </c>
      <c r="H42" s="8">
        <v>0.99997650946401084</v>
      </c>
      <c r="I42" s="8">
        <v>0.99997906566733707</v>
      </c>
      <c r="J42" s="8">
        <v>0.9999743446400684</v>
      </c>
    </row>
    <row r="43" spans="1:21">
      <c r="A43" s="13">
        <v>4</v>
      </c>
      <c r="B43" s="8">
        <v>0.81441920636474996</v>
      </c>
      <c r="C43" s="8">
        <v>0.99996695847039241</v>
      </c>
      <c r="D43" s="8">
        <v>0.80785770336958096</v>
      </c>
      <c r="E43" s="8">
        <v>0.99997040460378606</v>
      </c>
      <c r="F43" s="8">
        <v>0.99997185423306223</v>
      </c>
      <c r="G43" s="8">
        <v>0.99996663653479112</v>
      </c>
      <c r="H43" s="8">
        <v>0.99996955114201946</v>
      </c>
      <c r="I43" s="8">
        <v>0.99996953915087916</v>
      </c>
      <c r="J43" s="8">
        <v>0.99996520793842625</v>
      </c>
    </row>
    <row r="44" spans="1:21">
      <c r="A44" s="13">
        <v>8</v>
      </c>
      <c r="B44" s="8">
        <v>0.81809893836153447</v>
      </c>
      <c r="C44" s="8">
        <v>0.99996288044305426</v>
      </c>
      <c r="D44" s="8">
        <v>0.80790231503199306</v>
      </c>
      <c r="E44" s="8">
        <v>0.99996279353370687</v>
      </c>
      <c r="F44" s="8">
        <v>0.99995880740070775</v>
      </c>
      <c r="G44" s="8">
        <v>0.99996135196952984</v>
      </c>
      <c r="H44" s="8">
        <v>0.99996851693496447</v>
      </c>
      <c r="I44" s="8">
        <v>0.99996251194809649</v>
      </c>
      <c r="J44" s="8">
        <v>0.99995583990483761</v>
      </c>
    </row>
    <row r="45" spans="1:21">
      <c r="A45" s="13">
        <v>16</v>
      </c>
      <c r="B45" s="8">
        <v>0.81993868250141189</v>
      </c>
      <c r="C45" s="8">
        <v>0.99994632226162072</v>
      </c>
      <c r="D45" s="8">
        <v>0.81904869946235759</v>
      </c>
      <c r="E45" s="8">
        <v>0.99992805796559592</v>
      </c>
      <c r="F45" s="8">
        <v>0.99993499681968701</v>
      </c>
      <c r="G45" s="8">
        <v>0.99994980047817772</v>
      </c>
      <c r="H45" s="8">
        <v>0.99995870869669223</v>
      </c>
      <c r="I45" s="8">
        <v>0.99994557028529163</v>
      </c>
      <c r="J45" s="8">
        <v>0.99993881235297088</v>
      </c>
    </row>
    <row r="46" spans="1:21">
      <c r="A46" s="4" t="s">
        <v>86</v>
      </c>
      <c r="B46" s="8">
        <v>0.94168131055890125</v>
      </c>
      <c r="C46" s="8">
        <v>0.9945168483201946</v>
      </c>
      <c r="D46" s="8">
        <v>0.94360610020005609</v>
      </c>
      <c r="E46">
        <v>0.9953876546801812</v>
      </c>
      <c r="F46">
        <v>0.99475498813239083</v>
      </c>
      <c r="G46">
        <v>0.99484568973463328</v>
      </c>
      <c r="H46">
        <v>0.99447044261911799</v>
      </c>
      <c r="I46">
        <v>0.9942583236100343</v>
      </c>
      <c r="J46">
        <v>0.9942871403405702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AD10-F20C-45D7-B112-9297C1C15964}">
  <sheetPr>
    <pageSetUpPr fitToPage="1"/>
  </sheetPr>
  <dimension ref="A3:I38"/>
  <sheetViews>
    <sheetView workbookViewId="0">
      <selection activeCell="P23" sqref="P23"/>
    </sheetView>
  </sheetViews>
  <sheetFormatPr defaultColWidth="11.42578125" defaultRowHeight="15"/>
  <cols>
    <col min="1" max="1" width="17.5703125" bestFit="1" customWidth="1"/>
    <col min="2" max="2" width="10.140625" bestFit="1" customWidth="1"/>
    <col min="3" max="3" width="7.85546875" bestFit="1" customWidth="1"/>
    <col min="4" max="4" width="8.5703125" bestFit="1" customWidth="1"/>
    <col min="5" max="6" width="10.7109375" bestFit="1" customWidth="1"/>
    <col min="7" max="7" width="6.85546875" bestFit="1" customWidth="1"/>
    <col min="8" max="9" width="13" bestFit="1" customWidth="1"/>
  </cols>
  <sheetData>
    <row r="3" spans="1:9">
      <c r="A3" s="3" t="s">
        <v>69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87</v>
      </c>
      <c r="H3" t="s">
        <v>77</v>
      </c>
      <c r="I3" t="s">
        <v>78</v>
      </c>
    </row>
    <row r="4" spans="1:9">
      <c r="A4" s="4" t="s">
        <v>85</v>
      </c>
      <c r="B4" s="7"/>
      <c r="C4" s="7"/>
      <c r="D4" s="7"/>
      <c r="E4" s="7"/>
      <c r="F4" s="7"/>
      <c r="G4" s="7"/>
      <c r="H4" s="7"/>
      <c r="I4" s="7"/>
    </row>
    <row r="5" spans="1:9">
      <c r="A5" s="5">
        <v>2</v>
      </c>
      <c r="B5" s="7">
        <v>1.3995845857947579E-3</v>
      </c>
      <c r="C5" s="7">
        <v>-4.3101961599265428E-4</v>
      </c>
      <c r="D5" s="7">
        <v>1.4363893445780665E-3</v>
      </c>
      <c r="E5" s="7">
        <v>1.424891258392134E-3</v>
      </c>
      <c r="F5" s="7">
        <v>1.4352195921339215E-3</v>
      </c>
      <c r="G5" s="7">
        <v>1.437896494210215E-3</v>
      </c>
      <c r="H5" s="7">
        <v>1.4392441364778174E-3</v>
      </c>
      <c r="I5" s="7">
        <v>1.4357352763482937E-3</v>
      </c>
    </row>
    <row r="6" spans="1:9">
      <c r="A6" s="5">
        <v>4</v>
      </c>
      <c r="B6" s="7">
        <v>4.3083845197346565E-3</v>
      </c>
      <c r="C6" s="7">
        <v>2.3830021545926761E-4</v>
      </c>
      <c r="D6" s="7">
        <v>7.8795539711989104E-3</v>
      </c>
      <c r="E6" s="7">
        <v>1.4074480623379503E-3</v>
      </c>
      <c r="F6" s="7">
        <v>9.7062254992427831E-3</v>
      </c>
      <c r="G6" s="7">
        <v>7.9758388935676251E-3</v>
      </c>
      <c r="H6" s="7">
        <v>5.7902415440702886E-3</v>
      </c>
      <c r="I6" s="7">
        <v>9.7575601118813811E-3</v>
      </c>
    </row>
    <row r="7" spans="1:9">
      <c r="A7" s="5">
        <v>8</v>
      </c>
      <c r="B7" s="7">
        <v>2.4616194277403557E-3</v>
      </c>
      <c r="C7" s="7">
        <v>1.4104187295003548E-2</v>
      </c>
      <c r="D7" s="7">
        <v>2.1702150050063124E-2</v>
      </c>
      <c r="E7" s="7">
        <v>-1.1356137162173065E-2</v>
      </c>
      <c r="F7" s="7">
        <v>3.7778189641703874E-2</v>
      </c>
      <c r="G7" s="7">
        <v>3.1809062666286428E-2</v>
      </c>
      <c r="H7" s="7">
        <v>3.6365812091764863E-3</v>
      </c>
      <c r="I7" s="7">
        <v>3.8309153622467208E-2</v>
      </c>
    </row>
    <row r="8" spans="1:9">
      <c r="A8" s="5">
        <v>16</v>
      </c>
      <c r="B8" s="7">
        <v>5.8135156489074391E-3</v>
      </c>
      <c r="C8" s="7">
        <v>-2.8396883167878785E-2</v>
      </c>
      <c r="D8" s="7">
        <v>-1.7132505233643597E-2</v>
      </c>
      <c r="E8" s="7">
        <v>-4.2307294535261275E-2</v>
      </c>
      <c r="F8" s="7">
        <v>2.3184854186364234E-2</v>
      </c>
      <c r="G8" s="7">
        <v>1.5444736973544851E-2</v>
      </c>
      <c r="H8" s="7">
        <v>5.8250376328527909E-3</v>
      </c>
      <c r="I8" s="7">
        <v>2.6769321806642259E-2</v>
      </c>
    </row>
    <row r="9" spans="1:9">
      <c r="A9" s="4" t="s">
        <v>80</v>
      </c>
      <c r="B9" s="7"/>
      <c r="C9" s="7"/>
      <c r="D9" s="7"/>
      <c r="E9" s="7"/>
      <c r="F9" s="7"/>
      <c r="G9" s="7"/>
      <c r="H9" s="7"/>
      <c r="I9" s="7"/>
    </row>
    <row r="10" spans="1:9">
      <c r="A10" s="5">
        <v>2</v>
      </c>
      <c r="B10" s="7">
        <v>-2.4959148322751818E-4</v>
      </c>
      <c r="C10" s="7">
        <v>-3.5035098543412697E-3</v>
      </c>
      <c r="D10" s="7">
        <v>-3.4732552763963678E-3</v>
      </c>
      <c r="E10" s="7">
        <v>6.2592945049573892E-4</v>
      </c>
      <c r="F10" s="7">
        <v>-8.8946268119884705E-4</v>
      </c>
      <c r="G10" s="7">
        <v>7.5503861204824464E-4</v>
      </c>
      <c r="H10" s="7">
        <v>6.8347509682231862E-4</v>
      </c>
      <c r="I10" s="7">
        <v>7.7069281717721447E-4</v>
      </c>
    </row>
    <row r="11" spans="1:9">
      <c r="A11" s="5">
        <v>4</v>
      </c>
      <c r="B11" s="7">
        <v>-2.9847326562409236E-6</v>
      </c>
      <c r="C11" s="7">
        <v>-3.0428570575792749E-2</v>
      </c>
      <c r="D11" s="7">
        <v>-3.0090656735076951E-2</v>
      </c>
      <c r="E11" s="7">
        <v>-1.7306443671268303E-2</v>
      </c>
      <c r="F11" s="7">
        <v>-2.8142196043735742E-2</v>
      </c>
      <c r="G11" s="7">
        <v>1.5702554979466492E-3</v>
      </c>
      <c r="H11" s="7">
        <v>1.3248402221003239E-3</v>
      </c>
      <c r="I11" s="7">
        <v>2.7346072654495842E-3</v>
      </c>
    </row>
    <row r="12" spans="1:9">
      <c r="A12" s="5">
        <v>8</v>
      </c>
      <c r="B12" s="7">
        <v>7.828277169522635E-5</v>
      </c>
      <c r="C12" s="7">
        <v>-7.63533523515256E-2</v>
      </c>
      <c r="D12" s="7">
        <v>-8.1456643825415537E-2</v>
      </c>
      <c r="E12" s="7">
        <v>-7.3006805931855184E-2</v>
      </c>
      <c r="F12" s="7">
        <v>-6.1911895208791964E-2</v>
      </c>
      <c r="G12" s="7">
        <v>5.6041688846761957E-3</v>
      </c>
      <c r="H12" s="7">
        <v>7.828277169522635E-5</v>
      </c>
      <c r="I12" s="7">
        <v>1.2284647186412589E-2</v>
      </c>
    </row>
    <row r="13" spans="1:9">
      <c r="A13" s="5">
        <v>16</v>
      </c>
      <c r="B13" s="7">
        <v>8.3289180033073242E-5</v>
      </c>
      <c r="C13" s="7">
        <v>-0.16751737999896582</v>
      </c>
      <c r="D13" s="7">
        <v>-0.17677058926080308</v>
      </c>
      <c r="E13" s="7">
        <v>-0.1556869936428826</v>
      </c>
      <c r="F13" s="7">
        <v>-0.12281805833989476</v>
      </c>
      <c r="G13" s="7">
        <v>1.7186378214050898E-4</v>
      </c>
      <c r="H13" s="7">
        <v>8.2525336126101399E-5</v>
      </c>
      <c r="I13" s="7">
        <v>6.8694771449018853E-3</v>
      </c>
    </row>
    <row r="14" spans="1:9">
      <c r="A14" s="4" t="s">
        <v>81</v>
      </c>
      <c r="B14" s="7"/>
      <c r="C14" s="7"/>
      <c r="D14" s="7"/>
      <c r="E14" s="7"/>
      <c r="F14" s="7"/>
      <c r="G14" s="7"/>
      <c r="H14" s="7"/>
      <c r="I14" s="7"/>
    </row>
    <row r="15" spans="1:9">
      <c r="A15" s="5">
        <v>2</v>
      </c>
      <c r="B15" s="7">
        <v>9.4141382736904848E-4</v>
      </c>
      <c r="C15" s="7">
        <v>1.778786147914313E-2</v>
      </c>
      <c r="D15" s="7">
        <v>1.8182561342607512E-2</v>
      </c>
      <c r="E15" s="7">
        <v>-1.8961905092254358E-2</v>
      </c>
      <c r="F15" s="7">
        <v>1.8401815585384701E-2</v>
      </c>
      <c r="G15" s="7">
        <v>1.8170246542406319E-2</v>
      </c>
      <c r="H15" s="7">
        <v>4.5097920038252642E-3</v>
      </c>
      <c r="I15" s="7">
        <v>1.8268395201724116E-2</v>
      </c>
    </row>
    <row r="16" spans="1:9">
      <c r="A16" s="5">
        <v>4</v>
      </c>
      <c r="B16" s="7">
        <v>7.0825632934893798E-4</v>
      </c>
      <c r="C16" s="7">
        <v>3.1114084542317622E-2</v>
      </c>
      <c r="D16" s="7">
        <v>2.6941640023447309E-2</v>
      </c>
      <c r="E16" s="7">
        <v>-0.11996768966655533</v>
      </c>
      <c r="F16" s="7">
        <v>3.9608953337508669E-2</v>
      </c>
      <c r="G16" s="7">
        <v>2.5869381401255852E-2</v>
      </c>
      <c r="H16" s="7">
        <v>1.7599283597536865E-3</v>
      </c>
      <c r="I16" s="7">
        <v>3.9560848045619143E-2</v>
      </c>
    </row>
    <row r="17" spans="1:9">
      <c r="A17" s="5">
        <v>8</v>
      </c>
      <c r="B17" s="7">
        <v>6.5801360817119769E-4</v>
      </c>
      <c r="C17" s="7">
        <v>2.8636141237463067E-2</v>
      </c>
      <c r="D17" s="7">
        <v>2.47431870353397E-2</v>
      </c>
      <c r="E17" s="7">
        <v>-0.28823382176440177</v>
      </c>
      <c r="F17" s="7">
        <v>6.185077213554132E-2</v>
      </c>
      <c r="G17" s="7">
        <v>2.8296507729915394E-2</v>
      </c>
      <c r="H17" s="7">
        <v>3.6281410182181372E-3</v>
      </c>
      <c r="I17" s="7">
        <v>6.2434871086663547E-2</v>
      </c>
    </row>
    <row r="18" spans="1:9">
      <c r="A18" s="5">
        <v>16</v>
      </c>
      <c r="B18" s="7">
        <v>1.7607190781901033E-3</v>
      </c>
      <c r="C18" s="7">
        <v>-5.9955302067318649E-3</v>
      </c>
      <c r="D18" s="7">
        <v>-5.3137122851302995E-3</v>
      </c>
      <c r="E18" s="7">
        <v>-0.37881062581273778</v>
      </c>
      <c r="F18" s="7">
        <v>7.4312621602980869E-2</v>
      </c>
      <c r="G18" s="7">
        <v>5.5784699160167997E-3</v>
      </c>
      <c r="H18" s="7">
        <v>1.1234060537464723E-3</v>
      </c>
      <c r="I18" s="7">
        <v>7.5014929922731274E-2</v>
      </c>
    </row>
    <row r="19" spans="1:9">
      <c r="A19" s="4" t="s">
        <v>83</v>
      </c>
      <c r="B19" s="7"/>
      <c r="C19" s="7"/>
      <c r="D19" s="7"/>
      <c r="E19" s="7"/>
      <c r="F19" s="7"/>
      <c r="G19" s="7"/>
      <c r="H19" s="7"/>
      <c r="I19" s="7"/>
    </row>
    <row r="20" spans="1:9">
      <c r="A20" s="5">
        <v>2</v>
      </c>
      <c r="B20" s="7">
        <v>2.3851462534896246E-3</v>
      </c>
      <c r="C20" s="7">
        <v>2.4808076713024622E-3</v>
      </c>
      <c r="D20" s="7">
        <v>9.4188394733600786E-3</v>
      </c>
      <c r="E20" s="7">
        <v>5.2065754539197279E-3</v>
      </c>
      <c r="F20" s="7">
        <v>8.935856305006297E-3</v>
      </c>
      <c r="G20" s="7">
        <v>6.7104885313846981E-3</v>
      </c>
      <c r="H20" s="7">
        <v>4.7980072967460418E-3</v>
      </c>
      <c r="I20" s="7">
        <v>6.0926010377975268E-3</v>
      </c>
    </row>
    <row r="21" spans="1:9">
      <c r="A21" s="5">
        <v>4</v>
      </c>
      <c r="B21" s="7">
        <v>7.3659369357753288E-3</v>
      </c>
      <c r="C21" s="7">
        <v>7.6061713102094069E-3</v>
      </c>
      <c r="D21" s="7">
        <v>1.3060907330828774E-2</v>
      </c>
      <c r="E21" s="7">
        <v>2.4698058941739253E-3</v>
      </c>
      <c r="F21" s="7">
        <v>2.3245653258127455E-2</v>
      </c>
      <c r="G21" s="7">
        <v>1.4567759361660233E-2</v>
      </c>
      <c r="H21" s="7">
        <v>7.2388304033556396E-3</v>
      </c>
      <c r="I21" s="7">
        <v>1.998560499236101E-2</v>
      </c>
    </row>
    <row r="22" spans="1:9">
      <c r="A22" s="5">
        <v>8</v>
      </c>
      <c r="B22" s="7">
        <v>3.7990788943995914E-2</v>
      </c>
      <c r="C22" s="7">
        <v>1.7299371553775433E-2</v>
      </c>
      <c r="D22" s="7">
        <v>2.1017506224762075E-2</v>
      </c>
      <c r="E22" s="7">
        <v>1.6222530142442734E-2</v>
      </c>
      <c r="F22" s="7">
        <v>5.4822124596842277E-2</v>
      </c>
      <c r="G22" s="7">
        <v>4.7146107541353469E-2</v>
      </c>
      <c r="H22" s="7">
        <v>3.799078894399599E-2</v>
      </c>
      <c r="I22" s="7">
        <v>5.0029453641462614E-2</v>
      </c>
    </row>
    <row r="23" spans="1:9">
      <c r="A23" s="5">
        <v>16</v>
      </c>
      <c r="B23" s="7">
        <v>4.7926020674411852E-2</v>
      </c>
      <c r="C23" s="7">
        <v>7.7925691648838176E-3</v>
      </c>
      <c r="D23" s="7">
        <v>6.3742827940837226E-3</v>
      </c>
      <c r="E23" s="7">
        <v>1.6970591686307546E-2</v>
      </c>
      <c r="F23" s="7">
        <v>5.8612452113242001E-2</v>
      </c>
      <c r="G23" s="7">
        <v>5.3034111469339867E-2</v>
      </c>
      <c r="H23" s="7">
        <v>4.5115567784487672E-2</v>
      </c>
      <c r="I23" s="7">
        <v>5.7973509941480046E-2</v>
      </c>
    </row>
    <row r="24" spans="1:9">
      <c r="A24" s="4" t="s">
        <v>79</v>
      </c>
      <c r="B24" s="7"/>
      <c r="C24" s="7"/>
      <c r="D24" s="7"/>
      <c r="E24" s="7"/>
      <c r="F24" s="7"/>
      <c r="G24" s="7"/>
      <c r="H24" s="7"/>
      <c r="I24" s="7"/>
    </row>
    <row r="25" spans="1:9">
      <c r="A25" s="5">
        <v>2</v>
      </c>
      <c r="B25" s="7">
        <v>2.3313625889201459E-7</v>
      </c>
      <c r="C25" s="7">
        <v>7.6979810577010579E-5</v>
      </c>
      <c r="D25" s="7">
        <v>8.2563936340179588E-5</v>
      </c>
      <c r="E25" s="7">
        <v>8.26558900298097E-5</v>
      </c>
      <c r="F25" s="7">
        <v>8.3093891964715927E-5</v>
      </c>
      <c r="G25" s="7">
        <v>8.2067096621260741E-5</v>
      </c>
      <c r="H25" s="7">
        <v>8.2897492720857674E-5</v>
      </c>
      <c r="I25" s="7">
        <v>8.3223145333801687E-5</v>
      </c>
    </row>
    <row r="26" spans="1:9">
      <c r="A26" s="5">
        <v>4</v>
      </c>
      <c r="B26" s="7">
        <v>3.8093745763472788E-6</v>
      </c>
      <c r="C26" s="7">
        <v>1.015091782956082E-4</v>
      </c>
      <c r="D26" s="7">
        <v>1.0948435171823959E-4</v>
      </c>
      <c r="E26" s="7">
        <v>-6.7541516594437961E-4</v>
      </c>
      <c r="F26" s="7">
        <v>4.4576247147572163E-4</v>
      </c>
      <c r="G26" s="7">
        <v>3.5959832145710343E-4</v>
      </c>
      <c r="H26" s="7">
        <v>1.3904955162261936E-4</v>
      </c>
      <c r="I26" s="7">
        <v>4.5246411496643998E-4</v>
      </c>
    </row>
    <row r="27" spans="1:9">
      <c r="A27" s="5">
        <v>8</v>
      </c>
      <c r="B27" s="7">
        <v>2.1369629551951922E-5</v>
      </c>
      <c r="C27" s="7">
        <v>5.2954720636045824E-4</v>
      </c>
      <c r="D27" s="7">
        <v>4.5406064862030509E-4</v>
      </c>
      <c r="E27" s="7">
        <v>-1.0994100493208984E-2</v>
      </c>
      <c r="F27" s="7">
        <v>2.2141004291048941E-3</v>
      </c>
      <c r="G27" s="7">
        <v>9.5975464621228111E-4</v>
      </c>
      <c r="H27" s="7">
        <v>8.4682128438140291E-5</v>
      </c>
      <c r="I27" s="7">
        <v>2.4787612037115215E-3</v>
      </c>
    </row>
    <row r="28" spans="1:9">
      <c r="A28" s="5">
        <v>16</v>
      </c>
      <c r="B28" s="7">
        <v>4.3732556360788517E-6</v>
      </c>
      <c r="C28" s="7">
        <v>-8.6007088767412043E-3</v>
      </c>
      <c r="D28" s="7">
        <v>-8.3285028695579324E-3</v>
      </c>
      <c r="E28" s="7">
        <v>-3.363790458187578E-2</v>
      </c>
      <c r="F28" s="7">
        <v>7.5944352824208424E-4</v>
      </c>
      <c r="G28" s="7">
        <v>8.2457793649042807E-5</v>
      </c>
      <c r="H28" s="7">
        <v>4.3732556360788517E-6</v>
      </c>
      <c r="I28" s="7">
        <v>3.4117738039498905E-3</v>
      </c>
    </row>
    <row r="29" spans="1:9">
      <c r="A29" s="4" t="s">
        <v>84</v>
      </c>
      <c r="B29" s="7"/>
      <c r="C29" s="7"/>
      <c r="D29" s="7"/>
      <c r="E29" s="7"/>
      <c r="F29" s="7"/>
      <c r="G29" s="7"/>
      <c r="H29" s="7"/>
      <c r="I29" s="7"/>
    </row>
    <row r="30" spans="1:9">
      <c r="A30" s="5">
        <v>2</v>
      </c>
      <c r="B30" s="7">
        <v>2.1844872781147605E-3</v>
      </c>
      <c r="C30" s="7">
        <v>2.8951703372806839E-4</v>
      </c>
      <c r="D30" s="7">
        <v>3.6881013934233265E-3</v>
      </c>
      <c r="E30" s="7">
        <v>-4.2360517688108754E-3</v>
      </c>
      <c r="F30" s="7">
        <v>4.4532198634355414E-3</v>
      </c>
      <c r="G30" s="7">
        <v>4.4572288566101671E-3</v>
      </c>
      <c r="H30" s="7">
        <v>2.9067237737616411E-3</v>
      </c>
      <c r="I30" s="7">
        <v>4.4573189701062766E-3</v>
      </c>
    </row>
    <row r="31" spans="1:9">
      <c r="A31" s="5">
        <v>4</v>
      </c>
      <c r="B31" s="7">
        <v>4.8419508466004428E-3</v>
      </c>
      <c r="C31" s="7">
        <v>1.0597400910344846E-4</v>
      </c>
      <c r="D31" s="7">
        <v>5.6491192660816239E-3</v>
      </c>
      <c r="E31" s="7">
        <v>-4.80599204587083E-3</v>
      </c>
      <c r="F31" s="7">
        <v>7.9642227128265807E-3</v>
      </c>
      <c r="G31" s="7">
        <v>6.8922465133535232E-3</v>
      </c>
      <c r="H31" s="7">
        <v>4.8419508466004428E-3</v>
      </c>
      <c r="I31" s="7">
        <v>8.0412620637000092E-3</v>
      </c>
    </row>
    <row r="32" spans="1:9">
      <c r="A32" s="5">
        <v>8</v>
      </c>
      <c r="B32" s="7">
        <v>8.0789965643913541E-4</v>
      </c>
      <c r="C32" s="7">
        <v>-1.8575798941253383E-3</v>
      </c>
      <c r="D32" s="7">
        <v>1.6184720949643891E-3</v>
      </c>
      <c r="E32" s="7">
        <v>-7.5602532086801108E-3</v>
      </c>
      <c r="F32" s="7">
        <v>8.5819665129495404E-3</v>
      </c>
      <c r="G32" s="7">
        <v>3.5419740031968289E-3</v>
      </c>
      <c r="H32" s="7">
        <v>8.0789965643913541E-4</v>
      </c>
      <c r="I32" s="7">
        <v>8.8363128286202738E-3</v>
      </c>
    </row>
    <row r="33" spans="1:9">
      <c r="A33" s="5">
        <v>16</v>
      </c>
      <c r="B33" s="7">
        <v>2.1425276124567872E-4</v>
      </c>
      <c r="C33" s="7">
        <v>-6.4948758266853979E-3</v>
      </c>
      <c r="D33" s="7">
        <v>-3.584221119095685E-3</v>
      </c>
      <c r="E33" s="7">
        <v>-9.495046059262071E-3</v>
      </c>
      <c r="F33" s="7">
        <v>9.3117502189902692E-3</v>
      </c>
      <c r="G33" s="7">
        <v>1.8529569872648166E-3</v>
      </c>
      <c r="H33" s="7">
        <v>2.142527612456282E-4</v>
      </c>
      <c r="I33" s="7">
        <v>9.7180781276671388E-3</v>
      </c>
    </row>
    <row r="34" spans="1:9">
      <c r="A34" s="4" t="s">
        <v>82</v>
      </c>
      <c r="B34" s="7"/>
      <c r="C34" s="7"/>
      <c r="D34" s="7"/>
      <c r="E34" s="7"/>
      <c r="F34" s="7"/>
      <c r="G34" s="7"/>
      <c r="H34" s="7"/>
      <c r="I34" s="7"/>
    </row>
    <row r="35" spans="1:9">
      <c r="A35" s="5">
        <v>2</v>
      </c>
      <c r="B35" s="7">
        <v>4.2933908477298533E-4</v>
      </c>
      <c r="C35" s="7">
        <v>2.0715948062925428E-4</v>
      </c>
      <c r="D35" s="7">
        <v>3.1318996589563552E-3</v>
      </c>
      <c r="E35" s="7">
        <v>1.3549789616054729E-4</v>
      </c>
      <c r="F35" s="7">
        <v>2.0721668394497648E-3</v>
      </c>
      <c r="G35" s="7">
        <v>2.7363764199615616E-3</v>
      </c>
      <c r="H35" s="7">
        <v>7.2695210114151205E-4</v>
      </c>
      <c r="I35" s="7">
        <v>1.539546845879875E-3</v>
      </c>
    </row>
    <row r="36" spans="1:9">
      <c r="A36" s="5">
        <v>4</v>
      </c>
      <c r="B36" s="7">
        <v>8.7297188188768847E-4</v>
      </c>
      <c r="C36" s="7">
        <v>-1.0651967460357289E-4</v>
      </c>
      <c r="D36" s="7">
        <v>1.1838328242398503E-2</v>
      </c>
      <c r="E36" s="7">
        <v>4.2857981429430658E-3</v>
      </c>
      <c r="F36" s="7">
        <v>1.0640546046947119E-2</v>
      </c>
      <c r="G36" s="7">
        <v>9.8546279501254535E-3</v>
      </c>
      <c r="H36" s="7">
        <v>7.2893637152042683E-3</v>
      </c>
      <c r="I36" s="7">
        <v>1.0732495015519039E-2</v>
      </c>
    </row>
    <row r="37" spans="1:9">
      <c r="A37" s="5">
        <v>8</v>
      </c>
      <c r="B37" s="7">
        <v>2.7711051665322167E-3</v>
      </c>
      <c r="C37" s="7">
        <v>-2.0613927098725945E-2</v>
      </c>
      <c r="D37" s="7">
        <v>-1.7080393620515565E-2</v>
      </c>
      <c r="E37" s="7">
        <v>-1.9462791411758735E-2</v>
      </c>
      <c r="F37" s="7">
        <v>7.3246763857417818E-3</v>
      </c>
      <c r="G37" s="7">
        <v>3.867098066423449E-3</v>
      </c>
      <c r="H37" s="7">
        <v>1.3863327150917374E-3</v>
      </c>
      <c r="I37" s="7">
        <v>6.6186040709899224E-3</v>
      </c>
    </row>
    <row r="38" spans="1:9">
      <c r="A38" s="5">
        <v>16</v>
      </c>
      <c r="B38" s="7">
        <v>1.7579366687707374E-3</v>
      </c>
      <c r="C38" s="7">
        <v>-4.1180010335295419E-2</v>
      </c>
      <c r="D38" s="7">
        <v>-4.8296229000489084E-2</v>
      </c>
      <c r="E38" s="7">
        <v>-4.0728853532534887E-2</v>
      </c>
      <c r="F38" s="7">
        <v>5.9150741812800875E-3</v>
      </c>
      <c r="G38" s="7">
        <v>-2.2403827922694588E-3</v>
      </c>
      <c r="H38" s="7">
        <v>-1.6460820871444107E-3</v>
      </c>
      <c r="I38" s="7">
        <v>5.7272932074874791E-3</v>
      </c>
    </row>
  </sheetData>
  <conditionalFormatting pivot="1" sqref="B5:I8 B9:I9 B10:I13 B14:I14 B15:I18 B19:I19 B20:I23 B24:I24 B25:I28 B29:I29 B30:I33 B34:I34 B35:I38">
    <cfRule type="cellIs" dxfId="0" priority="1" operator="greaterThan">
      <formula>0</formula>
    </cfRule>
  </conditionalFormatting>
  <pageMargins left="0" right="0" top="0" bottom="0" header="0" footer="0"/>
  <pageSetup paperSize="9" orientation="landscape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Barredo</dc:creator>
  <cp:keywords/>
  <dc:description/>
  <cp:lastModifiedBy>Pablo Barredo Gil</cp:lastModifiedBy>
  <cp:revision/>
  <dcterms:created xsi:type="dcterms:W3CDTF">2015-06-05T18:19:34Z</dcterms:created>
  <dcterms:modified xsi:type="dcterms:W3CDTF">2023-03-16T19:05:03Z</dcterms:modified>
  <cp:category/>
  <cp:contentStatus/>
</cp:coreProperties>
</file>