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unioviedo-my.sharepoint.com/personal/puente_uniovi_es/Documents/imasd/tesis 2019/tesis Pablo Barredo/2022-23/NACO-2023/experimentación/"/>
    </mc:Choice>
  </mc:AlternateContent>
  <xr:revisionPtr revIDLastSave="24" documentId="13_ncr:1_{29ABAC34-331F-4EF6-8696-71254E558F28}" xr6:coauthVersionLast="47" xr6:coauthVersionMax="47" xr10:uidLastSave="{64784434-2485-443C-B2BC-1A4142289E14}"/>
  <bookViews>
    <workbookView xWindow="-120" yWindow="-120" windowWidth="38640" windowHeight="21120" firstSheet="2" activeTab="2" xr2:uid="{00000000-000D-0000-FFFF-FFFF00000000}"/>
  </bookViews>
  <sheets>
    <sheet name="Instances" sheetId="4" r:id="rId1"/>
    <sheet name="Data" sheetId="2" r:id="rId2"/>
    <sheet name="Accuracy" sheetId="16" r:id="rId3"/>
    <sheet name="Makespan MPE" sheetId="17" r:id="rId4"/>
  </sheets>
  <calcPr calcId="191028"/>
  <pivotCaches>
    <pivotCache cacheId="466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16" l="1"/>
  <c r="T40" i="16"/>
  <c r="S40" i="16"/>
  <c r="R40" i="16"/>
  <c r="Q40" i="16"/>
  <c r="P40" i="16"/>
  <c r="O40" i="16"/>
  <c r="N40" i="16"/>
  <c r="M40" i="16"/>
  <c r="L40" i="16"/>
  <c r="U34" i="16"/>
  <c r="T34" i="16"/>
  <c r="S34" i="16"/>
  <c r="R34" i="16"/>
  <c r="Q34" i="16"/>
  <c r="P34" i="16"/>
  <c r="O34" i="16"/>
  <c r="N34" i="16"/>
  <c r="M34" i="16"/>
  <c r="L34" i="16"/>
  <c r="U28" i="16"/>
  <c r="T28" i="16"/>
  <c r="S28" i="16"/>
  <c r="R28" i="16"/>
  <c r="Q28" i="16"/>
  <c r="P28" i="16"/>
  <c r="O28" i="16"/>
  <c r="N28" i="16"/>
  <c r="M28" i="16"/>
  <c r="L28" i="16"/>
  <c r="U22" i="16"/>
  <c r="T22" i="16"/>
  <c r="S22" i="16"/>
  <c r="R22" i="16"/>
  <c r="Q22" i="16"/>
  <c r="P22" i="16"/>
  <c r="O22" i="16"/>
  <c r="N22" i="16"/>
  <c r="M22" i="16"/>
  <c r="L22" i="16"/>
  <c r="U16" i="16"/>
  <c r="T16" i="16"/>
  <c r="S16" i="16"/>
  <c r="R16" i="16"/>
  <c r="Q16" i="16"/>
  <c r="P16" i="16"/>
  <c r="O16" i="16"/>
  <c r="N16" i="16"/>
  <c r="M16" i="16"/>
  <c r="L16" i="16"/>
  <c r="U10" i="16"/>
  <c r="T10" i="16"/>
  <c r="S10" i="16"/>
  <c r="R10" i="16"/>
  <c r="Q10" i="16"/>
  <c r="P10" i="16"/>
  <c r="O10" i="16"/>
  <c r="N10" i="16"/>
  <c r="M10" i="16"/>
  <c r="L10" i="16"/>
  <c r="O4" i="16"/>
  <c r="P4" i="16"/>
  <c r="Q4" i="16"/>
  <c r="R4" i="16"/>
  <c r="S4" i="16"/>
  <c r="T4" i="16"/>
  <c r="U4" i="16"/>
  <c r="N4" i="16"/>
  <c r="L4" i="16"/>
  <c r="M4" i="16"/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U143" i="2" l="1"/>
  <c r="W143" i="2"/>
  <c r="V143" i="2"/>
  <c r="T142" i="2"/>
  <c r="U142" i="2"/>
  <c r="V142" i="2"/>
  <c r="W142" i="2"/>
  <c r="T143" i="2"/>
  <c r="X142" i="2" l="1"/>
  <c r="X143" i="2"/>
</calcChain>
</file>

<file path=xl/sharedStrings.xml><?xml version="1.0" encoding="utf-8"?>
<sst xmlns="http://schemas.openxmlformats.org/spreadsheetml/2006/main" count="254" uniqueCount="89">
  <si>
    <t>Tasks</t>
  </si>
  <si>
    <t>Name</t>
  </si>
  <si>
    <t>1000genome-chameleon-12ch-250k-001</t>
  </si>
  <si>
    <t>1000genome-chameleon-18ch-250k-001</t>
  </si>
  <si>
    <t>1000genome-chameleon-2ch-250k-001</t>
  </si>
  <si>
    <t>1000genome-chameleon-4ch-250k-001</t>
  </si>
  <si>
    <t>cycles-chameleon-1l-1c-9p-001</t>
  </si>
  <si>
    <t>cycles-chameleon-2l-1c-12p-001</t>
  </si>
  <si>
    <t>cycles-chameleon-2l-1c-9p-001</t>
  </si>
  <si>
    <t>cycles-chameleon-5l-1c-12p-001</t>
  </si>
  <si>
    <t>epigenomics-chameleon-hep-1seq-100k-001</t>
  </si>
  <si>
    <t>epigenomics-chameleon-ilmn-1seq-100k-001</t>
  </si>
  <si>
    <t>epigenomics-chameleon-hep-6seq-100k-001</t>
  </si>
  <si>
    <t>epigenomics-chameleon-ilmn-6seq-100k-001</t>
  </si>
  <si>
    <t>montage-chameleon-2mass-005d-001</t>
  </si>
  <si>
    <t>montage-chameleon-2mass-01d-001</t>
  </si>
  <si>
    <t>montage-chameleon-dss-10d-001</t>
  </si>
  <si>
    <t>montage-chameleon-dss-125d-001</t>
  </si>
  <si>
    <t>seismology-chameleon-100p-001</t>
  </si>
  <si>
    <t>seismology-chameleon-500p-001</t>
  </si>
  <si>
    <t>seismology-chameleon-700p-001</t>
  </si>
  <si>
    <t>seismology-chameleon-1000p-001</t>
  </si>
  <si>
    <t>soykb-chameleon-10fastq-10ch-001</t>
  </si>
  <si>
    <t>soykb-chameleon-10fastq-20ch-001</t>
  </si>
  <si>
    <t>soykb-chameleon-30fastq-10ch-001</t>
  </si>
  <si>
    <t>soykb-chameleon-40fastq-20ch-001</t>
  </si>
  <si>
    <t>srasearch-chameleon-10a-005</t>
  </si>
  <si>
    <t>srasearch-chameleon-20a-003</t>
  </si>
  <si>
    <t>srasearch-chameleon-40a-003</t>
  </si>
  <si>
    <t>srasearch-chameleon-50a-003</t>
  </si>
  <si>
    <t>Problem</t>
  </si>
  <si>
    <t>Benchmark</t>
  </si>
  <si>
    <t>Hosts</t>
  </si>
  <si>
    <t>Real HEFT_NC</t>
  </si>
  <si>
    <t>Real HEFT_DNC</t>
  </si>
  <si>
    <t>Real GA_NC</t>
  </si>
  <si>
    <t>Real GA_DNC</t>
  </si>
  <si>
    <t>Real HGA_(Ph2)</t>
  </si>
  <si>
    <t>Real HGA_(Ph1)</t>
  </si>
  <si>
    <t>Real GA^H</t>
  </si>
  <si>
    <t>Real HGA_(Ph2)^H</t>
  </si>
  <si>
    <t>Real HGA_(Ph1)^H</t>
  </si>
  <si>
    <t>HEFT_DNC vs HEFT_NC</t>
  </si>
  <si>
    <t>GA_NC vs HEFT_NC</t>
  </si>
  <si>
    <t>GA_DNC vs HEFT_NC</t>
  </si>
  <si>
    <t>HGA_(Ph2) vs HEFT_NC</t>
  </si>
  <si>
    <t>HGA_(Ph1) vs HEFT_NC</t>
  </si>
  <si>
    <t>GA^H vs HEDT_NC</t>
  </si>
  <si>
    <t>HGA_(Ph2)^H vs HEFT_NC</t>
  </si>
  <si>
    <t>HGA_(Ph1)^H vs HEFT_NC</t>
  </si>
  <si>
    <t>Calculated HEFT_NC</t>
  </si>
  <si>
    <t>Calculated HEFT_DNC</t>
  </si>
  <si>
    <t>Calculated GA_NC</t>
  </si>
  <si>
    <t>Calculated GA_DNC</t>
  </si>
  <si>
    <t>Calculated HGA_(Ph2)</t>
  </si>
  <si>
    <t>Calculated HGA_(Ph1)</t>
  </si>
  <si>
    <t>Calculated HGA^H</t>
  </si>
  <si>
    <t>Calculated HGA_(Ph2)^H</t>
  </si>
  <si>
    <t>Calculated HGA_(Ph1)^H</t>
  </si>
  <si>
    <t>accuracy HEFT_NC</t>
  </si>
  <si>
    <t>accuracy HEFT_DNC</t>
  </si>
  <si>
    <t>accuracy GA_NC</t>
  </si>
  <si>
    <t>accuracy GA_DNC</t>
  </si>
  <si>
    <t>accuracy HGA_(Ph2)</t>
  </si>
  <si>
    <t>accuracy HGA_(Ph1)</t>
  </si>
  <si>
    <t>accuracy HGA^H</t>
  </si>
  <si>
    <t>accuracy HGA_(Ph2)^H</t>
  </si>
  <si>
    <t>accuracy HGA_(Ph1)^H</t>
  </si>
  <si>
    <t>Global Accuracy</t>
  </si>
  <si>
    <t>Etiquetas de fila</t>
  </si>
  <si>
    <t>Promedio de accuracy HEFT_NC</t>
  </si>
  <si>
    <t>HEFT_DNC</t>
  </si>
  <si>
    <t>GA_NC</t>
  </si>
  <si>
    <t>GA_DNC</t>
  </si>
  <si>
    <t>HGA_(Ph2)</t>
  </si>
  <si>
    <t>HGA_(Ph1)</t>
  </si>
  <si>
    <t>HGA^H</t>
  </si>
  <si>
    <t>HGA_(Ph2)^H</t>
  </si>
  <si>
    <t>HGA_(Ph1)^H</t>
  </si>
  <si>
    <t xml:space="preserve"> HEFT_NC</t>
  </si>
  <si>
    <t>seismology</t>
  </si>
  <si>
    <t>cycles</t>
  </si>
  <si>
    <t>epigenomics</t>
  </si>
  <si>
    <t>srasearch</t>
  </si>
  <si>
    <t>montage</t>
  </si>
  <si>
    <t>soykb</t>
  </si>
  <si>
    <t>1000genome</t>
  </si>
  <si>
    <t>Total general</t>
  </si>
  <si>
    <t>GA^H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</si>
</sst>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4" fillId="0" borderId="0" xfId="1" applyNumberFormat="1" applyFont="1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0" xfId="0" pivotButton="1" applyAlignment="1">
      <alignment wrapText="1"/>
    </xf>
    <xf numFmtId="0" fontId="8" fillId="3" borderId="3" xfId="0" applyFont="1" applyFill="1" applyBorder="1"/>
    <xf numFmtId="0" fontId="8" fillId="0" borderId="0" xfId="0" applyFont="1"/>
    <xf numFmtId="10" fontId="0" fillId="0" borderId="0" xfId="1" applyNumberFormat="1" applyFont="1" applyAlignment="1"/>
    <xf numFmtId="164" fontId="4" fillId="0" borderId="0" xfId="1" applyNumberFormat="1" applyFont="1" applyAlignment="1"/>
    <xf numFmtId="10" fontId="4" fillId="0" borderId="0" xfId="1" applyNumberFormat="1" applyFont="1" applyAlignment="1"/>
    <xf numFmtId="2" fontId="0" fillId="0" borderId="0" xfId="1" applyNumberFormat="1" applyFont="1" applyAlignment="1"/>
    <xf numFmtId="0" fontId="5" fillId="2" borderId="0" xfId="2" applyAlignme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0" fontId="1" fillId="0" borderId="2" xfId="1" applyNumberFormat="1" applyFont="1" applyFill="1" applyBorder="1" applyAlignment="1">
      <alignment vertical="top" wrapText="1"/>
    </xf>
    <xf numFmtId="164" fontId="1" fillId="0" borderId="1" xfId="1" applyNumberFormat="1" applyFont="1" applyBorder="1" applyAlignment="1">
      <alignment vertical="top" wrapText="1"/>
    </xf>
    <xf numFmtId="0" fontId="6" fillId="0" borderId="0" xfId="0" applyFont="1" applyAlignment="1">
      <alignment horizontal="left" wrapText="1"/>
    </xf>
    <xf numFmtId="165" fontId="0" fillId="0" borderId="0" xfId="0" applyNumberFormat="1"/>
    <xf numFmtId="0" fontId="7" fillId="0" borderId="0" xfId="0" applyFont="1"/>
    <xf numFmtId="0" fontId="8" fillId="3" borderId="3" xfId="0" applyFont="1" applyFill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wrapText="1"/>
    </xf>
    <xf numFmtId="10" fontId="7" fillId="0" borderId="0" xfId="1" applyNumberFormat="1" applyFont="1"/>
    <xf numFmtId="0" fontId="1" fillId="0" borderId="1" xfId="0" applyFont="1" applyBorder="1" applyAlignment="1">
      <alignment horizontal="center" vertical="top" wrapText="1"/>
    </xf>
  </cellXfs>
  <cellStyles count="3">
    <cellStyle name="Bueno" xfId="2" builtinId="26"/>
    <cellStyle name="Normal" xfId="0" builtinId="0"/>
    <cellStyle name="Porcentaje" xfId="1" builtinId="5"/>
  </cellStyles>
  <dxfs count="64"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0496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CCED799-3E92-4E42-91DD-563460643703}"/>
            </a:ext>
          </a:extLst>
        </xdr:cNvPr>
        <xdr:cNvSpPr txBox="1"/>
      </xdr:nvSpPr>
      <xdr:spPr>
        <a:xfrm>
          <a:off x="6581775" y="190500"/>
          <a:ext cx="4304961" cy="264560"/>
        </a:xfrm>
        <a:prstGeom prst="rect">
          <a:avLst/>
        </a:prstGeom>
        <a:solidFill>
          <a:schemeClr val="bg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FF0000"/>
              </a:solidFill>
            </a:rPr>
            <a:t>AQUÍ INSERTÉ UNA FILA ARRIBA</a:t>
          </a:r>
          <a:r>
            <a:rPr lang="es-ES" sz="1100" baseline="0">
              <a:solidFill>
                <a:srgbClr val="FF0000"/>
              </a:solidFill>
            </a:rPr>
            <a:t> Y PUSE EL NOMBRE DE LAS COLUMNAS</a:t>
          </a:r>
          <a:endParaRPr lang="es-ES" sz="1100">
            <a:solidFill>
              <a:srgbClr val="FF0000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Barredo" refreshedDate="44997.861096064815" createdVersion="8" refreshedVersion="8" minRefreshableVersion="3" recordCount="140" xr:uid="{24382B61-4326-40BC-B349-54F953944CAA}">
  <cacheSource type="worksheet">
    <worksheetSource name="Tabla13"/>
  </cacheSource>
  <cacheFields count="39">
    <cacheField name="Problem" numFmtId="10">
      <sharedItems count="7">
        <s v="1000genome"/>
        <s v="cycles"/>
        <s v="epigenomics"/>
        <s v="montage"/>
        <s v="seismology"/>
        <s v="soykb"/>
        <s v="srasearch"/>
      </sharedItems>
    </cacheField>
    <cacheField name="Benchmark" numFmtId="0">
      <sharedItems count="28">
        <s v="1000genome-chameleon-12ch-250k-001"/>
        <s v="1000genome-chameleon-18ch-250k-001"/>
        <s v="1000genome-chameleon-2ch-250k-001"/>
        <s v="1000genome-chameleon-4ch-250k-001"/>
        <s v="cycles-chameleon-1l-1c-9p-001"/>
        <s v="cycles-chameleon-2l-1c-12p-001"/>
        <s v="cycles-chameleon-2l-1c-9p-001"/>
        <s v="cycles-chameleon-5l-1c-12p-001"/>
        <s v="epigenomics-chameleon-hep-1seq-100k-001"/>
        <s v="epigenomics-chameleon-hep-6seq-100k-001"/>
        <s v="epigenomics-chameleon-ilmn-1seq-100k-001"/>
        <s v="epigenomics-chameleon-ilmn-6seq-100k-001"/>
        <s v="montage-chameleon-2mass-005d-001"/>
        <s v="montage-chameleon-2mass-01d-001"/>
        <s v="montage-chameleon-dss-10d-001"/>
        <s v="montage-chameleon-dss-125d-001"/>
        <s v="seismology-chameleon-1000p-001"/>
        <s v="seismology-chameleon-100p-001"/>
        <s v="seismology-chameleon-500p-001"/>
        <s v="seismology-chameleon-700p-001"/>
        <s v="soykb-chameleon-10fastq-10ch-001"/>
        <s v="soykb-chameleon-10fastq-20ch-001"/>
        <s v="soykb-chameleon-30fastq-10ch-001"/>
        <s v="soykb-chameleon-40fastq-20ch-001"/>
        <s v="srasearch-chameleon-10a-005"/>
        <s v="srasearch-chameleon-20a-003"/>
        <s v="srasearch-chameleon-40a-003"/>
        <s v="srasearch-chameleon-50a-003"/>
      </sharedItems>
    </cacheField>
    <cacheField name="Tasks" numFmtId="0">
      <sharedItems containsSemiMixedTypes="0" containsString="0" containsNumber="1" containsInteger="1" minValue="22" maxValue="1091" count="28">
        <n v="492"/>
        <n v="738"/>
        <n v="82"/>
        <n v="164"/>
        <n v="67"/>
        <n v="437"/>
        <n v="133"/>
        <n v="1091"/>
        <n v="41"/>
        <n v="507"/>
        <n v="125"/>
        <n v="863"/>
        <n v="58"/>
        <n v="103"/>
        <n v="472"/>
        <n v="1066"/>
        <n v="1001"/>
        <n v="101"/>
        <n v="501"/>
        <n v="701"/>
        <n v="96"/>
        <n v="156"/>
        <n v="256"/>
        <n v="546"/>
        <n v="22"/>
        <n v="42"/>
        <n v="84"/>
        <n v="104"/>
      </sharedItems>
    </cacheField>
    <cacheField name="Hosts" numFmtId="0">
      <sharedItems containsSemiMixedTypes="0" containsString="0" containsNumber="1" containsInteger="1" minValue="1" maxValue="16" count="5">
        <n v="1"/>
        <n v="2"/>
        <n v="4"/>
        <n v="8"/>
        <n v="16"/>
      </sharedItems>
    </cacheField>
    <cacheField name="Real HEFT_NC" numFmtId="0">
      <sharedItems containsSemiMixedTypes="0" containsString="0" containsNumber="1" minValue="4.6588500000000002" maxValue="160336"/>
    </cacheField>
    <cacheField name="Real HEFT_DNC" numFmtId="0">
      <sharedItems containsSemiMixedTypes="0" containsString="0" containsNumber="1" minValue="4.6552199999999999" maxValue="160336"/>
    </cacheField>
    <cacheField name="Real GA_NC" numFmtId="0">
      <sharedItems containsSemiMixedTypes="0" containsString="0" containsNumber="1" minValue="4.7797780000000003" maxValue="160336"/>
    </cacheField>
    <cacheField name="Real GA_DNC" numFmtId="0">
      <sharedItems containsSemiMixedTypes="0" containsString="0" containsNumber="1" minValue="4.723059000000001" maxValue="160336"/>
    </cacheField>
    <cacheField name="Real HGA_(Ph2)" numFmtId="0">
      <sharedItems containsSemiMixedTypes="0" containsString="0" containsNumber="1" minValue="4.623367" maxValue="160336"/>
    </cacheField>
    <cacheField name="Real HGA_(Ph1)" numFmtId="0">
      <sharedItems containsSemiMixedTypes="0" containsString="0" containsNumber="1" minValue="4.8836659999999998" maxValue="160336"/>
    </cacheField>
    <cacheField name="Real GA^H" numFmtId="0">
      <sharedItems containsSemiMixedTypes="0" containsString="0" containsNumber="1" minValue="4.6548410000000002" maxValue="160336"/>
    </cacheField>
    <cacheField name="Real HGA_(Ph2)^H" numFmtId="0">
      <sharedItems containsSemiMixedTypes="0" containsString="0" containsNumber="1" minValue="4.6046369999999994" maxValue="160336"/>
    </cacheField>
    <cacheField name="Real HGA_(Ph1)^H" numFmtId="0">
      <sharedItems containsSemiMixedTypes="0" containsString="0" containsNumber="1" minValue="4.6552199999999999" maxValue="160336"/>
    </cacheField>
    <cacheField name="HEFT_DNC vs HEFT_NC" numFmtId="10">
      <sharedItems containsSemiMixedTypes="0" containsString="0" containsNumber="1" minValue="-3.6199545156824806E-4" maxValue="0.40019474421896478"/>
    </cacheField>
    <cacheField name="GA_NC vs HEFT_NC" numFmtId="10">
      <sharedItems containsSemiMixedTypes="0" containsString="0" containsNumber="1" minValue="-0.30875312331585908" maxValue="0.22188725448898336"/>
    </cacheField>
    <cacheField name="GA_DNC vs HEFT_NC" numFmtId="10">
      <sharedItems containsSemiMixedTypes="0" containsString="0" containsNumber="1" minValue="-0.29499191612365894" maxValue="0.40335344464711664"/>
    </cacheField>
    <cacheField name="HGA_(Ph2) vs HEFT_NC" numFmtId="10">
      <sharedItems containsSemiMixedTypes="0" containsString="0" containsNumber="1" minValue="-0.20802802410464957" maxValue="0.41456505236496827"/>
    </cacheField>
    <cacheField name="HGA_(Ph1) vs HEFT_NC" numFmtId="10">
      <sharedItems containsSemiMixedTypes="0" containsString="0" containsNumber="1" minValue="-0.56849582547805" maxValue="0.39034620961097749"/>
    </cacheField>
    <cacheField name="GA^H vs HEDT_NC" numFmtId="10">
      <sharedItems containsSemiMixedTypes="0" containsString="0" containsNumber="1" minValue="-2.1069427394096917E-16" maxValue="0.40271737518170236"/>
    </cacheField>
    <cacheField name="HGA_(Ph2)^H vs HEFT_NC" numFmtId="10">
      <sharedItems containsSemiMixedTypes="0" containsString="0" containsNumber="1" minValue="-2.1069427394096917E-16" maxValue="0.43796124543785081"/>
    </cacheField>
    <cacheField name="HGA_(Ph1)^H vs HEFT_NC" numFmtId="10">
      <sharedItems containsSemiMixedTypes="0" containsString="0" containsNumber="1" minValue="-2.1069427394096917E-16" maxValue="0.40019474421896478"/>
    </cacheField>
    <cacheField name="Calculated HEFT_NC" numFmtId="0">
      <sharedItems containsSemiMixedTypes="0" containsString="0" containsNumber="1" minValue="4.62704" maxValue="91650.6"/>
    </cacheField>
    <cacheField name="Calculated HEFT_DNC" numFmtId="0">
      <sharedItems containsSemiMixedTypes="0" containsString="0" containsNumber="1" minValue="4.6501400000000004" maxValue="160334"/>
    </cacheField>
    <cacheField name="Calculated GA_NC" numFmtId="0">
      <sharedItems containsSemiMixedTypes="0" containsString="0" containsNumber="1" minValue="4.7527290000000004" maxValue="91650.6"/>
    </cacheField>
    <cacheField name="Calculated GA_DNC" numFmtId="0">
      <sharedItems containsSemiMixedTypes="0" containsString="0" containsNumber="1" minValue="4.718318" maxValue="160334"/>
    </cacheField>
    <cacheField name="Calculated HGA_(Ph2)" numFmtId="0">
      <sharedItems containsSemiMixedTypes="0" containsString="0" containsNumber="1" minValue="4.6186939999999996" maxValue="160334"/>
    </cacheField>
    <cacheField name="Calculated HGA_(Ph1)" numFmtId="0">
      <sharedItems containsSemiMixedTypes="0" containsString="0" containsNumber="1" minValue="4.8787540000000007" maxValue="160334"/>
    </cacheField>
    <cacheField name="Calculated HGA^H" numFmtId="0">
      <sharedItems containsSemiMixedTypes="0" containsString="0" containsNumber="1" minValue="4.6497640000000002" maxValue="160334"/>
    </cacheField>
    <cacheField name="Calculated HGA_(Ph2)^H" numFmtId="0">
      <sharedItems containsSemiMixedTypes="0" containsString="0" containsNumber="1" minValue="4.5999120000000007" maxValue="160334"/>
    </cacheField>
    <cacheField name="Calculated HGA_(Ph1)^H" numFmtId="0">
      <sharedItems containsSemiMixedTypes="0" containsString="0" containsNumber="1" minValue="4.6501400000000004" maxValue="160334"/>
    </cacheField>
    <cacheField name="accuracy HEFT_NC" numFmtId="0">
      <sharedItems containsSemiMixedTypes="0" containsString="0" containsNumber="1" minValue="0.40692290256775565" maxValue="0.99849993534204096"/>
    </cacheField>
    <cacheField name="accuracy HEFT_DNC" numFmtId="0">
      <sharedItems containsSemiMixedTypes="0" containsString="0" containsNumber="1" minValue="0.80747411284286197" maxValue="1"/>
    </cacheField>
    <cacheField name="accuracy GA_NC" numFmtId="0">
      <sharedItems containsSemiMixedTypes="0" containsString="0" containsNumber="1" minValue="0.40332529390596206" maxValue="0.99846951246611249"/>
    </cacheField>
    <cacheField name="accuracy GA_DNC" numFmtId="10">
      <sharedItems containsSemiMixedTypes="0" containsString="0" containsNumber="1" minValue="0.87374754231219232" maxValue="1"/>
    </cacheField>
    <cacheField name="accuracy HGA_(Ph2)" numFmtId="10">
      <sharedItems containsSemiMixedTypes="0" containsString="0" containsNumber="1" minValue="0.85221989113177576" maxValue="1"/>
    </cacheField>
    <cacheField name="accuracy HGA_(Ph1)" numFmtId="10">
      <sharedItems containsSemiMixedTypes="0" containsString="0" containsNumber="1" minValue="0.84364944700180877" maxValue="1"/>
    </cacheField>
    <cacheField name="accuracy HGA^H" numFmtId="10">
      <sharedItems containsSemiMixedTypes="0" containsString="0" containsNumber="1" minValue="0.8311550297909015" maxValue="1"/>
    </cacheField>
    <cacheField name="accuracy HGA_(Ph2)^H" numFmtId="10">
      <sharedItems containsSemiMixedTypes="0" containsString="0" containsNumber="1" minValue="0.82199870782803719" maxValue="1"/>
    </cacheField>
    <cacheField name="accuracy HGA_(Ph1)^H" numFmtId="10">
      <sharedItems containsSemiMixedTypes="0" containsString="0" containsNumber="1" minValue="0.80747411284286197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x v="0"/>
    <x v="0"/>
    <n v="66845.399999999994"/>
    <n v="66845.399999999994"/>
    <n v="66845.399999999994"/>
    <n v="66845.399999999994"/>
    <n v="66845.399999999994"/>
    <n v="66845.399999999994"/>
    <n v="66845.399999999994"/>
    <n v="66845.399999999994"/>
    <n v="66845.399999999994"/>
    <n v="0"/>
    <n v="0"/>
    <n v="0"/>
    <n v="0"/>
    <n v="0"/>
    <n v="0"/>
    <n v="0"/>
    <n v="0"/>
    <n v="28130.2"/>
    <n v="66845.300000000017"/>
    <n v="28130.2"/>
    <n v="66845.300000000017"/>
    <n v="66845.300000000017"/>
    <n v="66845.300000000017"/>
    <n v="66845.300000000017"/>
    <n v="66845.300000000017"/>
    <n v="66845.300000000017"/>
    <n v="0.42082476879486103"/>
    <n v="0.99999850401074752"/>
    <n v="0.42082476879486103"/>
    <n v="0.99999850401074752"/>
    <n v="0.99999850401074752"/>
    <n v="0.99999850401074752"/>
    <n v="0.99999850401074752"/>
    <n v="0.99999850401074752"/>
    <n v="0.99999850401074752"/>
  </r>
  <r>
    <x v="0"/>
    <x v="0"/>
    <x v="0"/>
    <x v="1"/>
    <n v="33657.099999999991"/>
    <n v="20714.3"/>
    <n v="33455.89"/>
    <n v="20532.599999999999"/>
    <n v="20119.46"/>
    <n v="20663.95"/>
    <n v="20519.09"/>
    <n v="20132.36"/>
    <n v="20677.919999999998"/>
    <n v="0.38454887676002969"/>
    <n v="5.9782334188029241E-3"/>
    <n v="0.3899474405103231"/>
    <n v="0.40222241369577283"/>
    <n v="0.38604484640685011"/>
    <n v="0.39034884170056228"/>
    <n v="0.40183913646749109"/>
    <n v="0.38562977796661019"/>
    <n v="14065.5"/>
    <n v="20713.8"/>
    <n v="14065.1"/>
    <n v="20532.11"/>
    <n v="20118.93"/>
    <n v="20663.71"/>
    <n v="20518.560000000001"/>
    <n v="20131.849999999999"/>
    <n v="20677.599999999999"/>
    <n v="0.41790588018575586"/>
    <n v="0.9999758620856124"/>
    <n v="0.42040728852229009"/>
    <n v="0.99997613551133324"/>
    <n v="0.99997365734468024"/>
    <n v="0.99998838557003855"/>
    <n v="0.9999741703944961"/>
    <n v="0.9999746676494955"/>
    <n v="0.99998452455566134"/>
  </r>
  <r>
    <x v="0"/>
    <x v="0"/>
    <x v="0"/>
    <x v="2"/>
    <n v="16727.900000000001"/>
    <n v="10360"/>
    <n v="16822.5"/>
    <n v="10308.77"/>
    <n v="10076.030000000001"/>
    <n v="10410.870000000001"/>
    <n v="10297.89"/>
    <n v="10083.57"/>
    <n v="10360"/>
    <n v="0.38067539858559657"/>
    <n v="-5.655222711756917E-3"/>
    <n v="0.38373794678351736"/>
    <n v="0.39765122938324599"/>
    <n v="0.37763437131977118"/>
    <n v="0.38438835717573644"/>
    <n v="0.39720048541657954"/>
    <n v="0.38067539858559657"/>
    <n v="7033.69"/>
    <n v="10359.9"/>
    <n v="7034.8180000000011"/>
    <n v="10308.530000000001"/>
    <n v="10075.790000000001"/>
    <n v="10410.629999999999"/>
    <n v="10297.620000000001"/>
    <n v="10083.27"/>
    <n v="10359.9"/>
    <n v="0.420476569085181"/>
    <n v="0.99999034749034743"/>
    <n v="0.41817910536483882"/>
    <n v="0.99997671885200656"/>
    <n v="0.99997618109513375"/>
    <n v="0.99997694717156183"/>
    <n v="0.99997378103669798"/>
    <n v="0.99997024863218098"/>
    <n v="0.99999034749034743"/>
  </r>
  <r>
    <x v="0"/>
    <x v="0"/>
    <x v="0"/>
    <x v="3"/>
    <n v="8468.880000000001"/>
    <n v="5166.29"/>
    <n v="8550.655999999999"/>
    <n v="5181.9159999999993"/>
    <n v="5055.027"/>
    <n v="5307.9089999999997"/>
    <n v="5162.8980000000001"/>
    <n v="4868.463999999999"/>
    <n v="5166.29"/>
    <n v="0.38996774071660018"/>
    <n v="-9.6560584162248154E-3"/>
    <n v="0.38812263250866719"/>
    <n v="0.40310560546376861"/>
    <n v="0.37324545866749809"/>
    <n v="0.39036826593363"/>
    <n v="0.42513484663851675"/>
    <n v="0.38996774071660018"/>
    <n v="3517.61"/>
    <n v="5166.1200000000008"/>
    <n v="3537.069"/>
    <n v="5181.7730000000001"/>
    <n v="5054.8630000000003"/>
    <n v="5307.759"/>
    <n v="5162.7680000000009"/>
    <n v="4868.2830000000004"/>
    <n v="5166.1200000000008"/>
    <n v="0.41535716647301646"/>
    <n v="0.99996709437526754"/>
    <n v="0.41366054253615164"/>
    <n v="0.99997240402970655"/>
    <n v="0.9999675570476676"/>
    <n v="0.99997174028416846"/>
    <n v="0.99997482034314855"/>
    <n v="0.99996282194959263"/>
    <n v="0.99996709437526754"/>
  </r>
  <r>
    <x v="0"/>
    <x v="0"/>
    <x v="0"/>
    <x v="4"/>
    <n v="4323.6200000000008"/>
    <n v="2593.33"/>
    <n v="4414.2459999999992"/>
    <n v="2661.3220000000001"/>
    <n v="2557.4520000000002"/>
    <n v="2782.4850000000001"/>
    <n v="2590.886"/>
    <n v="2430.0419999999999"/>
    <n v="2593.33"/>
    <n v="0.40019474421896478"/>
    <n v="-2.0960676470179702E-2"/>
    <n v="0.38446903289373263"/>
    <n v="0.40849288327836403"/>
    <n v="0.35644552481485431"/>
    <n v="0.40076001128683847"/>
    <n v="0.43796124543785081"/>
    <n v="0.40019474421896478"/>
    <n v="1759.38"/>
    <n v="2593.23"/>
    <n v="1827.018"/>
    <n v="2661.2420000000002"/>
    <n v="2557.320999999999"/>
    <n v="2782.3229999999999"/>
    <n v="2590.846"/>
    <n v="2429.9059999999999"/>
    <n v="2593.23"/>
    <n v="0.40692290256775565"/>
    <n v="0.99996143953912542"/>
    <n v="0.41389129649774853"/>
    <n v="0.99996993975174742"/>
    <n v="0.99994877714224895"/>
    <n v="0.9999417786618795"/>
    <n v="0.99998456126591451"/>
    <n v="0.99994403388912623"/>
    <n v="0.99996143953912542"/>
  </r>
  <r>
    <x v="0"/>
    <x v="1"/>
    <x v="1"/>
    <x v="0"/>
    <n v="100691"/>
    <n v="100691"/>
    <n v="100691"/>
    <n v="100691"/>
    <n v="100691"/>
    <n v="100691"/>
    <n v="100691"/>
    <n v="100691"/>
    <n v="100691"/>
    <n v="0"/>
    <n v="0"/>
    <n v="0"/>
    <n v="0"/>
    <n v="0"/>
    <n v="0"/>
    <n v="0"/>
    <n v="0"/>
    <n v="42669.2"/>
    <n v="100691"/>
    <n v="42669.2"/>
    <n v="100691"/>
    <n v="100691"/>
    <n v="100691"/>
    <n v="100691"/>
    <n v="100691"/>
    <n v="100691"/>
    <n v="0.42376379219592614"/>
    <n v="1"/>
    <n v="0.42376379219592614"/>
    <n v="1"/>
    <n v="1"/>
    <n v="1"/>
    <n v="1"/>
    <n v="1"/>
    <n v="1"/>
  </r>
  <r>
    <x v="0"/>
    <x v="1"/>
    <x v="1"/>
    <x v="1"/>
    <n v="50723.7"/>
    <n v="31294.7"/>
    <n v="50351.34"/>
    <n v="31134.25"/>
    <n v="30551.029999999992"/>
    <n v="31305.98"/>
    <n v="30955.250000000011"/>
    <n v="30508.33"/>
    <n v="31282.42"/>
    <n v="0.38303593783576506"/>
    <n v="7.3409471312226946E-3"/>
    <n v="0.38619915345292238"/>
    <n v="0.39769713171554927"/>
    <n v="0.38281355658203164"/>
    <n v="0.38972807583043012"/>
    <n v="0.39853894727711103"/>
    <n v="0.38327803373965225"/>
    <n v="21334.6"/>
    <n v="31294.2"/>
    <n v="21334.6"/>
    <n v="31133.59"/>
    <n v="30550.34"/>
    <n v="31305.42"/>
    <n v="30954.57"/>
    <n v="30507.61"/>
    <n v="31282"/>
    <n v="0.42060417516860954"/>
    <n v="0.99998402285371002"/>
    <n v="0.42371464195391823"/>
    <n v="0.99997880148068441"/>
    <n v="0.99997741483675051"/>
    <n v="0.99998211204376919"/>
    <n v="0.99997803280542041"/>
    <n v="0.99997639988816167"/>
    <n v="0.99998657392874346"/>
  </r>
  <r>
    <x v="0"/>
    <x v="1"/>
    <x v="1"/>
    <x v="2"/>
    <n v="25130.9"/>
    <n v="15624.1"/>
    <n v="25323.360000000001"/>
    <n v="15601.9"/>
    <n v="15243.62"/>
    <n v="15792.65"/>
    <n v="15570.02"/>
    <n v="15249.72"/>
    <n v="15624.1"/>
    <n v="0.37829126692637355"/>
    <n v="-7.6583011352557651E-3"/>
    <n v="0.37917464157670444"/>
    <n v="0.39343119426681894"/>
    <n v="0.37158438416451467"/>
    <n v="0.38044319940790028"/>
    <n v="0.39318846519623257"/>
    <n v="0.37829126692637355"/>
    <n v="10667.3"/>
    <n v="15623.8"/>
    <n v="10669"/>
    <n v="15601.52"/>
    <n v="15243.2"/>
    <n v="15792.23"/>
    <n v="15569.65"/>
    <n v="15249.31"/>
    <n v="15623.8"/>
    <n v="0.424469477814165"/>
    <n v="0.99998079889401625"/>
    <n v="0.42131060017312078"/>
    <n v="0.99997564399207794"/>
    <n v="0.99997244748950709"/>
    <n v="0.99997340534995705"/>
    <n v="0.99997623638248367"/>
    <n v="0.99997311426045854"/>
    <n v="0.99998079889401625"/>
  </r>
  <r>
    <x v="0"/>
    <x v="1"/>
    <x v="1"/>
    <x v="3"/>
    <n v="12792.1"/>
    <n v="7800.3500000000013"/>
    <n v="12882.84"/>
    <n v="7843.7709999999988"/>
    <n v="7641.8190000000004"/>
    <n v="8055.387999999999"/>
    <n v="7797.1759999999986"/>
    <n v="7283.6370000000006"/>
    <n v="7800.3500000000013"/>
    <n v="0.39022130846381742"/>
    <n v="-7.0934404827979599E-3"/>
    <n v="0.38682694788189598"/>
    <n v="0.40261419157136041"/>
    <n v="0.3702841597548488"/>
    <n v="0.39046943035154524"/>
    <n v="0.43061444172575258"/>
    <n v="0.39022130846381742"/>
    <n v="5334.82"/>
    <n v="7800.0899999999992"/>
    <n v="5366.1799999999994"/>
    <n v="7843.5910000000003"/>
    <n v="7641.567"/>
    <n v="8055.1390000000001"/>
    <n v="7796.9739999999993"/>
    <n v="7283.375"/>
    <n v="7800.0899999999992"/>
    <n v="0.41704020450121554"/>
    <n v="0.99996666816232582"/>
    <n v="0.41653703686454224"/>
    <n v="0.99997705185426777"/>
    <n v="0.99996702355813449"/>
    <n v="0.99996908901222403"/>
    <n v="0.99997409318450692"/>
    <n v="0.99996402895970782"/>
    <n v="0.99996666816232582"/>
  </r>
  <r>
    <x v="0"/>
    <x v="1"/>
    <x v="1"/>
    <x v="4"/>
    <n v="6398.82"/>
    <n v="3895.25"/>
    <n v="6585.1460000000006"/>
    <n v="3992.5250000000001"/>
    <n v="3850.3049999999998"/>
    <n v="4171.22"/>
    <n v="3893.1260000000002"/>
    <n v="3613.712"/>
    <n v="3895.25"/>
    <n v="0.39125495013143047"/>
    <n v="-2.9118806279908004E-2"/>
    <n v="0.37605292850869376"/>
    <n v="0.39827890142244976"/>
    <n v="0.34812668585770495"/>
    <n v="0.39158688633216743"/>
    <n v="0.43525337484098631"/>
    <n v="0.39125495013143047"/>
    <n v="2667.63"/>
    <n v="3895.15"/>
    <n v="2742.078"/>
    <n v="3992.4009999999998"/>
    <n v="3850.14"/>
    <n v="4171.003999999999"/>
    <n v="3893.009"/>
    <n v="3613.5789999999988"/>
    <n v="3895.15"/>
    <n v="0.41689405234090038"/>
    <n v="0.99997432770682249"/>
    <n v="0.4164035239309804"/>
    <n v="0.99996894196028818"/>
    <n v="0.99995714625205012"/>
    <n v="0.99994821658891131"/>
    <n v="0.99996994702971331"/>
    <n v="0.99996319573889636"/>
    <n v="0.99997432770682249"/>
  </r>
  <r>
    <x v="0"/>
    <x v="2"/>
    <x v="2"/>
    <x v="0"/>
    <n v="10815"/>
    <n v="10815"/>
    <n v="10815"/>
    <n v="10815"/>
    <n v="10815"/>
    <n v="10815"/>
    <n v="10815"/>
    <n v="10815"/>
    <n v="10815"/>
    <n v="0"/>
    <n v="0"/>
    <n v="0"/>
    <n v="0"/>
    <n v="0"/>
    <n v="0"/>
    <n v="0"/>
    <n v="0"/>
    <n v="4436.46"/>
    <n v="10815"/>
    <n v="4436.46"/>
    <n v="10815"/>
    <n v="10815"/>
    <n v="10815"/>
    <n v="10815"/>
    <n v="10815"/>
    <n v="10815"/>
    <n v="0.41021359223300974"/>
    <n v="1"/>
    <n v="0.41021359223300974"/>
    <n v="1"/>
    <n v="1"/>
    <n v="1"/>
    <n v="1"/>
    <n v="1"/>
    <n v="1"/>
  </r>
  <r>
    <x v="0"/>
    <x v="2"/>
    <x v="2"/>
    <x v="1"/>
    <n v="5393.4400000000014"/>
    <n v="3293.4899999999989"/>
    <n v="5407.442"/>
    <n v="3235.212"/>
    <n v="3205.9969999999998"/>
    <n v="3319.7509999999988"/>
    <n v="3221.4079999999999"/>
    <n v="3189.4340000000002"/>
    <n v="3293.4899999999989"/>
    <n v="0.38935262096176132"/>
    <n v="-2.5961167640686806E-3"/>
    <n v="0.40015796968168754"/>
    <n v="0.40557473523391396"/>
    <n v="0.38448355780355431"/>
    <n v="0.40271737518170236"/>
    <n v="0.4086456880951676"/>
    <n v="0.38935262096176132"/>
    <n v="2218.37"/>
    <n v="3293.46"/>
    <n v="2218.2310000000002"/>
    <n v="3235.1770000000001"/>
    <n v="3205.9609999999998"/>
    <n v="3319.7139999999999"/>
    <n v="3221.373000000001"/>
    <n v="3189.3969999999999"/>
    <n v="3293.46"/>
    <n v="0.41130892343291098"/>
    <n v="0.99999089112157657"/>
    <n v="0.41021817709741504"/>
    <n v="0.99998918154358973"/>
    <n v="0.99998877104376582"/>
    <n v="0.99998885458578102"/>
    <n v="0.99998913518560861"/>
    <n v="0.9999883991955939"/>
    <n v="0.99999089112157657"/>
  </r>
  <r>
    <x v="0"/>
    <x v="2"/>
    <x v="2"/>
    <x v="2"/>
    <n v="2779.53"/>
    <n v="1710.68"/>
    <n v="2754.953"/>
    <n v="1658.3969999999999"/>
    <n v="1627.2339999999999"/>
    <n v="1694.5509999999999"/>
    <n v="1666.1980000000001"/>
    <n v="1626.347"/>
    <n v="1694.53"/>
    <n v="0.38454343000435326"/>
    <n v="8.8421423765889275E-3"/>
    <n v="0.40335344464711664"/>
    <n v="0.41456505236496827"/>
    <n v="0.39034620961097749"/>
    <n v="0.40054685504383836"/>
    <n v="0.41488417106489234"/>
    <n v="0.39035376484513573"/>
    <n v="1151.82"/>
    <n v="1710.61"/>
    <n v="1114.5930000000001"/>
    <n v="1658.38"/>
    <n v="1627.204"/>
    <n v="1694.5239999999999"/>
    <n v="1666.1780000000001"/>
    <n v="1626.318"/>
    <n v="1694.4880000000001"/>
    <n v="0.4143938003907135"/>
    <n v="0.99995908059952754"/>
    <n v="0.40457786394178052"/>
    <n v="0.99998974913726946"/>
    <n v="0.99998156380704928"/>
    <n v="0.99998406657574779"/>
    <n v="0.99998799662465088"/>
    <n v="0.99998216862699041"/>
    <n v="0.9999752143662255"/>
  </r>
  <r>
    <x v="0"/>
    <x v="2"/>
    <x v="2"/>
    <x v="3"/>
    <n v="1388.36"/>
    <n v="920.96299999999997"/>
    <n v="1492.229"/>
    <n v="874.61490000000015"/>
    <n v="855.97829999999999"/>
    <n v="956.59030000000007"/>
    <n v="870.72619999999984"/>
    <n v="854.47939999999994"/>
    <n v="920.96299999999997"/>
    <n v="0.33665403785761616"/>
    <n v="-7.4814169235645045E-2"/>
    <n v="0.37003738223515498"/>
    <n v="0.38346084589011492"/>
    <n v="0.31099260998588252"/>
    <n v="0.37283831282952556"/>
    <n v="0.38454046500907546"/>
    <n v="0.33665403785761616"/>
    <n v="665.63"/>
    <n v="920.8549999999999"/>
    <n v="601.85369999999989"/>
    <n v="874.59509999999989"/>
    <n v="855.95280000000002"/>
    <n v="956.56399999999996"/>
    <n v="870.70609999999999"/>
    <n v="854.46669999999995"/>
    <n v="920.8549999999999"/>
    <n v="0.47943616929326693"/>
    <n v="0.99988273144523709"/>
    <n v="0.40332529390596206"/>
    <n v="0.99997736146502847"/>
    <n v="0.99997020952517146"/>
    <n v="0.99997250651611236"/>
    <n v="0.99997691582038095"/>
    <n v="0.99998513714900561"/>
    <n v="0.99988273144523709"/>
  </r>
  <r>
    <x v="0"/>
    <x v="2"/>
    <x v="2"/>
    <x v="4"/>
    <n v="918.75300000000004"/>
    <n v="556.29200000000014"/>
    <n v="917.51260000000002"/>
    <n v="556.34219999999993"/>
    <n v="553.59590000000003"/>
    <n v="564.45979999999997"/>
    <n v="556.07389999999998"/>
    <n v="553.56230000000005"/>
    <n v="556.29200000000014"/>
    <n v="0.39451408594039949"/>
    <n v="1.3500908296354105E-3"/>
    <n v="0.3944594466630314"/>
    <n v="0.39744860697053508"/>
    <n v="0.38562399252029661"/>
    <n v="0.39475147292036056"/>
    <n v="0.39748517827968993"/>
    <n v="0.39451408594039949"/>
    <n v="410.66199999999998"/>
    <n v="556.19800000000009"/>
    <n v="409.69080000000002"/>
    <n v="556.32080000000008"/>
    <n v="553.58909999999992"/>
    <n v="564.2962"/>
    <n v="556.06619999999998"/>
    <n v="553.55459999999994"/>
    <n v="556.19800000000009"/>
    <n v="0.44697758810039256"/>
    <n v="0.99983102399459267"/>
    <n v="0.44652335019704364"/>
    <n v="0.99996153446565827"/>
    <n v="0.99998771667203434"/>
    <n v="0.99971016536518642"/>
    <n v="0.99998615291960291"/>
    <n v="0.99998609009320161"/>
    <n v="0.99983102399459267"/>
  </r>
  <r>
    <x v="0"/>
    <x v="3"/>
    <x v="3"/>
    <x v="0"/>
    <n v="24659.9"/>
    <n v="24659.9"/>
    <n v="24659.9"/>
    <n v="24659.9"/>
    <n v="24659.9"/>
    <n v="24659.9"/>
    <n v="24659.9"/>
    <n v="24659.9"/>
    <n v="24659.9"/>
    <n v="0"/>
    <n v="0"/>
    <n v="0"/>
    <n v="0"/>
    <n v="0"/>
    <n v="0"/>
    <n v="0"/>
    <n v="0"/>
    <n v="11884.3"/>
    <n v="24659.8"/>
    <n v="11884.3"/>
    <n v="24659.8"/>
    <n v="24659.8"/>
    <n v="24659.8"/>
    <n v="24659.8"/>
    <n v="24659.8"/>
    <n v="24659.8"/>
    <n v="0.4819281505602212"/>
    <n v="0.99999594483351506"/>
    <n v="0.4819281505602212"/>
    <n v="0.99999594483351506"/>
    <n v="0.99999594483351506"/>
    <n v="0.99999594483351506"/>
    <n v="0.99999594483351506"/>
    <n v="0.99999594483351506"/>
    <n v="0.99999594483351506"/>
  </r>
  <r>
    <x v="0"/>
    <x v="3"/>
    <x v="3"/>
    <x v="1"/>
    <n v="12331"/>
    <n v="8321.94"/>
    <n v="12328.63"/>
    <n v="8102.3279999999986"/>
    <n v="7953.4040000000005"/>
    <n v="8251.85"/>
    <n v="8134.0290000000005"/>
    <n v="7977.3269999999993"/>
    <n v="8250.6239999999998"/>
    <n v="0.32512042818911679"/>
    <n v="1.9219852404515453E-4"/>
    <n v="0.34293017597923942"/>
    <n v="0.35500737977455188"/>
    <n v="0.33080447652258532"/>
    <n v="0.34035933825318299"/>
    <n v="0.35306731003162767"/>
    <n v="0.33090390073797749"/>
    <n v="5942.2299999999987"/>
    <n v="8321.69"/>
    <n v="5942.1350000000002"/>
    <n v="8102.2199999999993"/>
    <n v="7953.2869999999994"/>
    <n v="8251.77"/>
    <n v="8133.9289999999992"/>
    <n v="7977.1979999999994"/>
    <n v="8250.5499999999993"/>
    <n v="0.48189360149217408"/>
    <n v="0.99996995892784613"/>
    <n v="0.48197853289457149"/>
    <n v="0.99998667049766443"/>
    <n v="0.99998528931763042"/>
    <n v="0.99999030520428756"/>
    <n v="0.99998770596957531"/>
    <n v="0.99998382916984596"/>
    <n v="0.99999103098141418"/>
  </r>
  <r>
    <x v="0"/>
    <x v="3"/>
    <x v="3"/>
    <x v="2"/>
    <n v="6289.82"/>
    <n v="4154.99"/>
    <n v="6291.8679999999986"/>
    <n v="4112.8980000000001"/>
    <n v="3994.42"/>
    <n v="4174.585"/>
    <n v="4133.9479999999994"/>
    <n v="3981.8649999999998"/>
    <n v="4153.7729999999992"/>
    <n v="0.33941034878581583"/>
    <n v="-3.2560550222404856E-4"/>
    <n v="0.34610243218406883"/>
    <n v="0.3649389012722144"/>
    <n v="0.33629499731311863"/>
    <n v="0.34275575453669588"/>
    <n v="0.36693498383101586"/>
    <n v="0.33960383603982319"/>
    <n v="2974.82"/>
    <n v="4154.93"/>
    <n v="2971.8319999999999"/>
    <n v="4112.8330000000014"/>
    <n v="3994.329999999999"/>
    <n v="4174.5180000000009"/>
    <n v="4133.8850000000002"/>
    <n v="3981.7809999999999"/>
    <n v="4153.7069999999994"/>
    <n v="0.47295789068685595"/>
    <n v="0.99998555953203272"/>
    <n v="0.47232904441097628"/>
    <n v="0.99998419605835143"/>
    <n v="0.99997746856865299"/>
    <n v="0.99998395050046918"/>
    <n v="0.99998476033080264"/>
    <n v="0.99997890435763148"/>
    <n v="0.99998411083128524"/>
  </r>
  <r>
    <x v="0"/>
    <x v="3"/>
    <x v="3"/>
    <x v="3"/>
    <n v="3157.8"/>
    <n v="2065.16"/>
    <n v="3219.84"/>
    <n v="2097.777"/>
    <n v="2013.8240000000001"/>
    <n v="2181.3939999999998"/>
    <n v="2058.331000000001"/>
    <n v="1986.9390000000001"/>
    <n v="2065.16"/>
    <n v="0.3460130470580785"/>
    <n v="-1.9646589397681918E-2"/>
    <n v="0.33568402052061563"/>
    <n v="0.36226993476470964"/>
    <n v="0.30920450946861749"/>
    <n v="0.34817562860219109"/>
    <n v="0.37078377351320541"/>
    <n v="0.3460130470580785"/>
    <n v="1543.36"/>
    <n v="2065.14"/>
    <n v="1512.8219999999999"/>
    <n v="2097.73"/>
    <n v="2013.7750000000001"/>
    <n v="2181.3310000000001"/>
    <n v="2058.3000000000002"/>
    <n v="1986.874"/>
    <n v="2065.14"/>
    <n v="0.48874532902653739"/>
    <n v="0.99999031552034712"/>
    <n v="0.46984384317233147"/>
    <n v="0.99997759533067621"/>
    <n v="0.99997566818152928"/>
    <n v="0.99997111938512728"/>
    <n v="0.99998493925418175"/>
    <n v="0.99996728636359744"/>
    <n v="0.99999031552034712"/>
  </r>
  <r>
    <x v="0"/>
    <x v="3"/>
    <x v="3"/>
    <x v="4"/>
    <n v="1661.25"/>
    <n v="1053.1099999999999"/>
    <n v="1747.4870000000001"/>
    <n v="1134.615"/>
    <n v="1047.6020000000001"/>
    <n v="1140.3800000000001"/>
    <n v="1053.05"/>
    <n v="1039.268"/>
    <n v="1053.1099999999999"/>
    <n v="0.36607373965387513"/>
    <n v="-5.1910910458991773E-2"/>
    <n v="0.31701128668171558"/>
    <n v="0.36938931527464253"/>
    <n v="0.31354100827689985"/>
    <n v="0.36610985703536497"/>
    <n v="0.3744060195635816"/>
    <n v="0.36607373965387513"/>
    <n v="817.43599999999992"/>
    <n v="1053.0999999999999"/>
    <n v="854.83809999999994"/>
    <n v="1134.578"/>
    <n v="1047.5"/>
    <n v="1140.3"/>
    <n v="1053.04"/>
    <n v="1039.2339999999999"/>
    <n v="1053.0999999999999"/>
    <n v="0.49206079759217453"/>
    <n v="0.99999050431578851"/>
    <n v="0.48918137874559292"/>
    <n v="0.9999673898194541"/>
    <n v="0.99990263477923857"/>
    <n v="0.99992984794542161"/>
    <n v="0.99999050377474952"/>
    <n v="0.99996728466574536"/>
    <n v="0.99999050431578851"/>
  </r>
  <r>
    <x v="1"/>
    <x v="4"/>
    <x v="4"/>
    <x v="0"/>
    <n v="889.11399999999992"/>
    <n v="889.11399999999992"/>
    <n v="889.11399999999992"/>
    <n v="889.11399999999992"/>
    <n v="889.11399999999992"/>
    <n v="889.11399999999992"/>
    <n v="889.11399999999992"/>
    <n v="889.11399999999992"/>
    <n v="889.11399999999992"/>
    <n v="0"/>
    <n v="0"/>
    <n v="0"/>
    <n v="0"/>
    <n v="0"/>
    <n v="0"/>
    <n v="0"/>
    <n v="0"/>
    <n v="862.69899999999996"/>
    <n v="889.05999999999983"/>
    <n v="862.69899999999996"/>
    <n v="889.05999999999983"/>
    <n v="889.05999999999983"/>
    <n v="889.05999999999983"/>
    <n v="889.05999999999983"/>
    <n v="889.05999999999983"/>
    <n v="889.05999999999983"/>
    <n v="0.97029064889316785"/>
    <n v="0.99993926538104216"/>
    <n v="0.97029064889316785"/>
    <n v="0.99993926538104216"/>
    <n v="0.99993926538104216"/>
    <n v="0.99993926538104216"/>
    <n v="0.99993926538104216"/>
    <n v="0.99993926538104216"/>
    <n v="0.99993926538104216"/>
  </r>
  <r>
    <x v="1"/>
    <x v="4"/>
    <x v="4"/>
    <x v="1"/>
    <n v="444.02300000000002"/>
    <n v="439.18"/>
    <n v="444.08539999999999"/>
    <n v="438.92189999999999"/>
    <n v="436.86500000000001"/>
    <n v="438.98639999999989"/>
    <n v="438.99040000000002"/>
    <n v="436.77800000000002"/>
    <n v="438.6728"/>
    <n v="1.0907092650605977E-2"/>
    <n v="-1.4053326066435355E-4"/>
    <n v="1.148836884575806E-2"/>
    <n v="1.6120786535832637E-2"/>
    <n v="1.1343106100359969E-2"/>
    <n v="1.1334097558009387E-2"/>
    <n v="1.6316722331951281E-2"/>
    <n v="1.2049375820621971E-2"/>
    <n v="431.85599999999988"/>
    <n v="439.14800000000002"/>
    <n v="431.37560000000002"/>
    <n v="438.88850000000002"/>
    <n v="436.82530000000003"/>
    <n v="438.95330000000001"/>
    <n v="438.95740000000001"/>
    <n v="436.7414"/>
    <n v="438.64170000000001"/>
    <n v="0.97259826630602442"/>
    <n v="0.99992713693701907"/>
    <n v="0.9713798291950152"/>
    <n v="0.99992390445771795"/>
    <n v="0.99990912524464082"/>
    <n v="0.99992459903085862"/>
    <n v="0.99992482751331235"/>
    <n v="0.99991620457074293"/>
    <n v="0.99992910433471149"/>
  </r>
  <r>
    <x v="1"/>
    <x v="4"/>
    <x v="4"/>
    <x v="2"/>
    <n v="247.983"/>
    <n v="246.566"/>
    <n v="255.24"/>
    <n v="251.6671"/>
    <n v="252.155"/>
    <n v="246.5146"/>
    <n v="244.3571"/>
    <n v="243.4598"/>
    <n v="246.37360000000001"/>
    <n v="5.714101369851972E-3"/>
    <n v="-2.9264102781239056E-2"/>
    <n v="-1.4856260308166289E-2"/>
    <n v="-1.6823733884984038E-2"/>
    <n v="5.9213736425480883E-3"/>
    <n v="1.4621566800950071E-2"/>
    <n v="1.8239959997257887E-2"/>
    <n v="6.4899610053914735E-3"/>
    <n v="243.43199999999999"/>
    <n v="246.553"/>
    <n v="250.79339999999999"/>
    <n v="251.65430000000001"/>
    <n v="252.1421"/>
    <n v="246.50059999999999"/>
    <n v="244.3451"/>
    <n v="243.44630000000001"/>
    <n v="246.36060000000001"/>
    <n v="0.98164793554396867"/>
    <n v="0.99994727578011566"/>
    <n v="0.98257874941231771"/>
    <n v="0.99994913916042261"/>
    <n v="0.9999488409906605"/>
    <n v="0.99994320823188565"/>
    <n v="0.99995089154356476"/>
    <n v="0.99994454936708244"/>
    <n v="0.99994723460630519"/>
  </r>
  <r>
    <x v="1"/>
    <x v="4"/>
    <x v="4"/>
    <x v="3"/>
    <n v="188.142"/>
    <n v="187.46199999999999"/>
    <n v="193.1788"/>
    <n v="191.8116"/>
    <n v="187.93340000000001"/>
    <n v="188.03110000000001"/>
    <n v="187.4622"/>
    <n v="185.32390000000001"/>
    <n v="187.40100000000001"/>
    <n v="3.6142913331420248E-3"/>
    <n v="-2.6771268509955246E-2"/>
    <n v="-1.9504416876614486E-2"/>
    <n v="1.1087370177843858E-3"/>
    <n v="5.8944839536088001E-4"/>
    <n v="3.6132283062793005E-3"/>
    <n v="1.4978580008716751E-2"/>
    <n v="3.9385145262620016E-3"/>
    <n v="186.00200000000001"/>
    <n v="187.45500000000001"/>
    <n v="191.0419"/>
    <n v="191.80410000000001"/>
    <n v="187.92609999999999"/>
    <n v="188.02090000000001"/>
    <n v="187.45500000000001"/>
    <n v="185.31639999999999"/>
    <n v="187.39320000000001"/>
    <n v="0.98862561256922965"/>
    <n v="0.9999626590989108"/>
    <n v="0.98893822717606694"/>
    <n v="0.9999608991322736"/>
    <n v="0.99996115645223249"/>
    <n v="0.9999457536545816"/>
    <n v="0.9999615922569991"/>
    <n v="0.99995953031422269"/>
    <n v="0.99995837802359644"/>
  </r>
  <r>
    <x v="1"/>
    <x v="4"/>
    <x v="4"/>
    <x v="4"/>
    <n v="164.721"/>
    <n v="163.55199999999999"/>
    <n v="164.89439999999999"/>
    <n v="164.1054"/>
    <n v="163.55099999999999"/>
    <n v="163.66059999999999"/>
    <n v="163.55099999999999"/>
    <n v="163.55099999999999"/>
    <n v="163.55199999999999"/>
    <n v="7.0968486106811586E-3"/>
    <n v="-1.0526890924653606E-3"/>
    <n v="3.7372284043928859E-3"/>
    <n v="7.1029194820333525E-3"/>
    <n v="6.4375519818360471E-3"/>
    <n v="7.1029194820333525E-3"/>
    <n v="7.1029194820333525E-3"/>
    <n v="7.0968486106811586E-3"/>
    <n v="163.41499999999999"/>
    <n v="163.548"/>
    <n v="163.6611"/>
    <n v="164.10130000000001"/>
    <n v="163.547"/>
    <n v="163.65530000000001"/>
    <n v="163.547"/>
    <n v="163.547"/>
    <n v="163.548"/>
    <n v="0.99207144201407216"/>
    <n v="0.99997554294658586"/>
    <n v="0.99252066777282921"/>
    <n v="0.99997501605675376"/>
    <n v="0.99997554279704803"/>
    <n v="0.99996761590755512"/>
    <n v="0.99997554279704803"/>
    <n v="0.99997554279704803"/>
    <n v="0.99997554294658586"/>
  </r>
  <r>
    <x v="1"/>
    <x v="5"/>
    <x v="5"/>
    <x v="0"/>
    <n v="8483.119999999999"/>
    <n v="8483.1200000000008"/>
    <n v="8483.119999999999"/>
    <n v="8483.119999999999"/>
    <n v="8483.119999999999"/>
    <n v="8483.119999999999"/>
    <n v="8483.119999999999"/>
    <n v="8483.119999999999"/>
    <n v="8483.119999999999"/>
    <n v="-2.1442457533853779E-16"/>
    <n v="0"/>
    <n v="0"/>
    <n v="0"/>
    <n v="0"/>
    <n v="0"/>
    <n v="0"/>
    <n v="0"/>
    <n v="8307.31"/>
    <n v="8482.7599999999984"/>
    <n v="8307.31"/>
    <n v="8482.7599999999984"/>
    <n v="8482.7599999999984"/>
    <n v="8482.7599999999984"/>
    <n v="8482.7599999999984"/>
    <n v="8482.7599999999984"/>
    <n v="8482.7599999999984"/>
    <n v="0.97927531379963983"/>
    <n v="0.99995756278350389"/>
    <n v="0.97927531379963983"/>
    <n v="0.99995756278350412"/>
    <n v="0.99995756278350412"/>
    <n v="0.99995756278350412"/>
    <n v="0.99995756278350412"/>
    <n v="0.99995756278350412"/>
    <n v="0.99995756278350412"/>
  </r>
  <r>
    <x v="1"/>
    <x v="5"/>
    <x v="5"/>
    <x v="1"/>
    <n v="4240.1400000000003"/>
    <n v="4202.3000000000011"/>
    <n v="4243.7139999999999"/>
    <n v="4201.8500000000004"/>
    <n v="4191.4430000000002"/>
    <n v="4201.286000000001"/>
    <n v="4201.75"/>
    <n v="4190.6540000000005"/>
    <n v="4201.3779999999997"/>
    <n v="8.9242336337949299E-3"/>
    <n v="-8.4289669680708988E-4"/>
    <n v="9.0303622050215224E-3"/>
    <n v="1.1484762295584606E-2"/>
    <n v="9.1633766809584953E-3"/>
    <n v="9.0539463319608132E-3"/>
    <n v="1.1670841057134876E-2"/>
    <n v="9.1416792841747252E-3"/>
    <n v="4153.6900000000014"/>
    <n v="4202.0899999999992"/>
    <n v="4154.3639999999996"/>
    <n v="4201.6370000000006"/>
    <n v="4191.1910000000007"/>
    <n v="4201.0609999999997"/>
    <n v="4201.5320000000002"/>
    <n v="4190.3879999999999"/>
    <n v="4201.1460000000006"/>
    <n v="0.97961152226105763"/>
    <n v="0.99995002736596583"/>
    <n v="0.97894532949204394"/>
    <n v="0.99994930804288595"/>
    <n v="0.99993987750757929"/>
    <n v="0.99994644496946861"/>
    <n v="0.99994811685607188"/>
    <n v="0.9999365254206144"/>
    <n v="0.99994478002217391"/>
  </r>
  <r>
    <x v="1"/>
    <x v="5"/>
    <x v="5"/>
    <x v="2"/>
    <n v="2119.9899999999998"/>
    <n v="2100.73"/>
    <n v="2182.9520000000002"/>
    <n v="2172.328"/>
    <n v="2116.2069999999999"/>
    <n v="2139.438000000001"/>
    <n v="2100.6729999999998"/>
    <n v="2097.1489999999999"/>
    <n v="2100.73"/>
    <n v="9.0849485139079741E-3"/>
    <n v="-2.9699196694324241E-2"/>
    <n v="-2.4687852301190194E-2"/>
    <n v="1.7844423794451398E-3"/>
    <n v="-9.1736281774919843E-3"/>
    <n v="9.1118354331860101E-3"/>
    <n v="1.0774107425034976E-2"/>
    <n v="9.0849485139079741E-3"/>
    <n v="2076.91"/>
    <n v="2100.61"/>
    <n v="2139.420000000001"/>
    <n v="2172.221"/>
    <n v="2116.087"/>
    <n v="2139.3209999999999"/>
    <n v="2100.56"/>
    <n v="2097.018"/>
    <n v="2100.61"/>
    <n v="0.97967914942995016"/>
    <n v="0.99994287699990003"/>
    <n v="0.98005819642392533"/>
    <n v="0.9999507440865284"/>
    <n v="0.99994329477220334"/>
    <n v="0.99994531274100906"/>
    <n v="0.99994620771533704"/>
    <n v="0.99993753424291743"/>
    <n v="0.99994287699990003"/>
  </r>
  <r>
    <x v="1"/>
    <x v="5"/>
    <x v="5"/>
    <x v="3"/>
    <n v="1062.19"/>
    <n v="1050.78"/>
    <n v="1181.29"/>
    <n v="1173.3140000000001"/>
    <n v="1118.971"/>
    <n v="1133.521"/>
    <n v="1050.7149999999999"/>
    <n v="1049.1859999999999"/>
    <n v="1050.78"/>
    <n v="1.0741957653527224E-2"/>
    <n v="-0.11212683229930606"/>
    <n v="-0.10461781790451805"/>
    <n v="-5.3456537907530619E-2"/>
    <n v="-6.7154652180871507E-2"/>
    <n v="1.0803151978459725E-2"/>
    <n v="1.2242630791101529E-2"/>
    <n v="1.0741957653527224E-2"/>
    <n v="1038.79"/>
    <n v="1050.71"/>
    <n v="1159.607"/>
    <n v="1173.252"/>
    <n v="1118.9110000000001"/>
    <n v="1133.4480000000001"/>
    <n v="1050.6479999999999"/>
    <n v="1049.117"/>
    <n v="1050.71"/>
    <n v="0.97797004302431756"/>
    <n v="0.99993338282038113"/>
    <n v="0.98164464272109309"/>
    <n v="0.99994715822022062"/>
    <n v="0.99994637930741725"/>
    <n v="0.99993559889935879"/>
    <n v="0.99993623389786956"/>
    <n v="0.99993423473054355"/>
    <n v="0.99993338282038113"/>
  </r>
  <r>
    <x v="1"/>
    <x v="5"/>
    <x v="5"/>
    <x v="4"/>
    <n v="553.00600000000009"/>
    <n v="549.18899999999996"/>
    <n v="675.17589999999996"/>
    <n v="674.49889999999994"/>
    <n v="639.4819"/>
    <n v="632.84339999999997"/>
    <n v="549.18819999999994"/>
    <n v="548.26999999999987"/>
    <n v="549.18900000000008"/>
    <n v="6.9022759246737293E-3"/>
    <n v="-0.22091966452443526"/>
    <n v="-0.21969544634235402"/>
    <n v="-0.15637425272058511"/>
    <n v="-0.14436986217147713"/>
    <n v="6.9037225635890879E-3"/>
    <n v="8.5641023786364283E-3"/>
    <n v="6.9022759246735238E-3"/>
    <n v="545.67200000000014"/>
    <n v="549.16499999999996"/>
    <n v="665.4239"/>
    <n v="674.46590000000003"/>
    <n v="639.44910000000004"/>
    <n v="632.80359999999996"/>
    <n v="549.1647999999999"/>
    <n v="548.24469999999997"/>
    <n v="549.16499999999996"/>
    <n v="0.9867379377438944"/>
    <n v="0.99995629919754403"/>
    <n v="0.98555635649909901"/>
    <n v="0.99995107479048539"/>
    <n v="0.99994870847791006"/>
    <n v="0.99993710924377177"/>
    <n v="0.9999573916555381"/>
    <n v="0.99995385485253629"/>
    <n v="0.99995629919754381"/>
  </r>
  <r>
    <x v="1"/>
    <x v="6"/>
    <x v="6"/>
    <x v="0"/>
    <n v="3719.25"/>
    <n v="3719.25"/>
    <n v="3719.25"/>
    <n v="3719.25"/>
    <n v="3719.25"/>
    <n v="3719.25"/>
    <n v="3719.25"/>
    <n v="3719.25"/>
    <n v="3719.25"/>
    <n v="0"/>
    <n v="0"/>
    <n v="0"/>
    <n v="0"/>
    <n v="0"/>
    <n v="0"/>
    <n v="0"/>
    <n v="0"/>
    <n v="3666.6799999999989"/>
    <n v="3719.14"/>
    <n v="3666.6799999999989"/>
    <n v="3719.14"/>
    <n v="3719.14"/>
    <n v="3719.14"/>
    <n v="3719.14"/>
    <n v="3719.14"/>
    <n v="3719.14"/>
    <n v="0.98586542985817005"/>
    <n v="0.99997042414465276"/>
    <n v="0.98586542985817005"/>
    <n v="0.99997042414465276"/>
    <n v="0.99997042414465276"/>
    <n v="0.99997042414465276"/>
    <n v="0.99997042414465276"/>
    <n v="0.99997042414465276"/>
    <n v="0.99997042414465276"/>
  </r>
  <r>
    <x v="1"/>
    <x v="6"/>
    <x v="6"/>
    <x v="1"/>
    <n v="1855.62"/>
    <n v="1849.2"/>
    <n v="1859.931"/>
    <n v="1847.69"/>
    <n v="1845.163"/>
    <n v="1847.394"/>
    <n v="1847.6890000000001"/>
    <n v="1845.0329999999999"/>
    <n v="1847.25"/>
    <n v="3.4597600801887485E-3"/>
    <n v="-2.3232127267437024E-3"/>
    <n v="4.2735042735041855E-3"/>
    <n v="5.6353132645691898E-3"/>
    <n v="4.4330196915316096E-3"/>
    <n v="4.2740431769434546E-3"/>
    <n v="5.7053707116758766E-3"/>
    <n v="4.5106217867881843E-3"/>
    <n v="1837.49"/>
    <n v="1849.14"/>
    <n v="1833.34"/>
    <n v="1847.627"/>
    <n v="1845.085"/>
    <n v="1847.3320000000001"/>
    <n v="1847.624"/>
    <n v="1844.9590000000001"/>
    <n v="1847.1880000000001"/>
    <n v="0.99022968064582195"/>
    <n v="0.99996755353666456"/>
    <n v="0.98570323307692587"/>
    <n v="0.99996590337123648"/>
    <n v="0.99995772731189603"/>
    <n v="0.9999664392111266"/>
    <n v="0.99996482091953787"/>
    <n v="0.99995989231628923"/>
    <n v="0.99996643659493845"/>
  </r>
  <r>
    <x v="1"/>
    <x v="6"/>
    <x v="6"/>
    <x v="2"/>
    <n v="930.85799999999995"/>
    <n v="926.13099999999997"/>
    <n v="936.03950000000009"/>
    <n v="929.02870000000007"/>
    <n v="925.95280000000002"/>
    <n v="942.54299999999989"/>
    <n v="925.54320000000007"/>
    <n v="923.12400000000014"/>
    <n v="926.13099999999997"/>
    <n v="5.0781107322491461E-3"/>
    <n v="-5.5663699511634881E-3"/>
    <n v="1.9651762137725365E-3"/>
    <n v="5.2695470200609792E-3"/>
    <n v="-1.2552935034129745E-2"/>
    <n v="5.7095711698238374E-3"/>
    <n v="8.3084638043609341E-3"/>
    <n v="5.0781107322491461E-3"/>
    <n v="917.81600000000014"/>
    <n v="926.09599999999989"/>
    <n v="923.62389999999994"/>
    <n v="928.99939999999992"/>
    <n v="925.9190000000001"/>
    <n v="942.50740000000008"/>
    <n v="925.50710000000004"/>
    <n v="923.0838"/>
    <n v="926.09599999999989"/>
    <n v="0.98598927011423887"/>
    <n v="0.99996220837009009"/>
    <n v="0.98673602983634756"/>
    <n v="0.99996846168476805"/>
    <n v="0.99996349705946141"/>
    <n v="0.99996222983991201"/>
    <n v="0.99996099587788012"/>
    <n v="0.99995645222093654"/>
    <n v="0.99996220837009009"/>
  </r>
  <r>
    <x v="1"/>
    <x v="6"/>
    <x v="6"/>
    <x v="3"/>
    <n v="483.197"/>
    <n v="481.25400000000002"/>
    <n v="495.35119999999989"/>
    <n v="497.52659999999997"/>
    <n v="470.47640000000001"/>
    <n v="499.18369999999999"/>
    <n v="468.09870000000001"/>
    <n v="461.93579999999992"/>
    <n v="481.25400000000002"/>
    <n v="4.0211342371744519E-3"/>
    <n v="-2.5153715772241736E-2"/>
    <n v="-2.9655813260429952E-2"/>
    <n v="2.6325908480392034E-2"/>
    <n v="-3.3085263360492688E-2"/>
    <n v="3.1246675786480452E-2"/>
    <n v="4.4001101000213344E-2"/>
    <n v="4.0211342371744519E-3"/>
    <n v="476.67899999999997"/>
    <n v="481.238"/>
    <n v="491.24160000000001"/>
    <n v="497.50920000000002"/>
    <n v="470.4606"/>
    <n v="499.16500000000008"/>
    <n v="468.08339999999998"/>
    <n v="461.91950000000008"/>
    <n v="481.238"/>
    <n v="0.98651067783947333"/>
    <n v="0.99996675352308761"/>
    <n v="0.99170366398627907"/>
    <n v="0.99996502699554168"/>
    <n v="0.99996641701900457"/>
    <n v="0.99996253884091191"/>
    <n v="0.99996731458557775"/>
    <n v="0.99996471371129969"/>
    <n v="0.99996675352308761"/>
  </r>
  <r>
    <x v="1"/>
    <x v="6"/>
    <x v="6"/>
    <x v="4"/>
    <n v="270.65499999999992"/>
    <n v="270.495"/>
    <n v="307.44"/>
    <n v="303.89999999999998"/>
    <n v="277.36259999999999"/>
    <n v="293.61680000000001"/>
    <n v="270.49400000000003"/>
    <n v="265.37509999999997"/>
    <n v="270.495"/>
    <n v="5.911584858950005E-4"/>
    <n v="-0.1359110306478731"/>
    <n v="-0.12283164914743888"/>
    <n v="-2.4782841624947156E-2"/>
    <n v="-8.4837893258946279E-2"/>
    <n v="5.9485322643175898E-4"/>
    <n v="1.9507860560491929E-2"/>
    <n v="5.911584858950005E-4"/>
    <n v="270.24900000000002"/>
    <n v="270.48799999999989"/>
    <n v="305.75810000000001"/>
    <n v="303.89210000000003"/>
    <n v="277.35439999999988"/>
    <n v="293.6037"/>
    <n v="270.48799999999989"/>
    <n v="265.36800000000011"/>
    <n v="270.48799999999989"/>
    <n v="0.99849993534204096"/>
    <n v="0.99997412151795739"/>
    <n v="0.99452933905802765"/>
    <n v="0.99997400460677877"/>
    <n v="0.99997043581218192"/>
    <n v="0.99995538402434736"/>
    <n v="0.99997781836195943"/>
    <n v="0.99997324541752464"/>
    <n v="0.99997412151795739"/>
  </r>
  <r>
    <x v="1"/>
    <x v="7"/>
    <x v="7"/>
    <x v="0"/>
    <n v="16297"/>
    <n v="16297"/>
    <n v="16297"/>
    <n v="16297"/>
    <n v="16297"/>
    <n v="16297"/>
    <n v="16297"/>
    <n v="16297"/>
    <n v="16297"/>
    <n v="0"/>
    <n v="0"/>
    <n v="0"/>
    <n v="0"/>
    <n v="0"/>
    <n v="0"/>
    <n v="0"/>
    <n v="0"/>
    <n v="15858.2"/>
    <n v="16296.1"/>
    <n v="15858.2"/>
    <n v="16296.1"/>
    <n v="16296.1"/>
    <n v="16296.1"/>
    <n v="16296.1"/>
    <n v="16296.1"/>
    <n v="16296.1"/>
    <n v="0.97307479904276861"/>
    <n v="0.99994477511198387"/>
    <n v="0.97307479904276861"/>
    <n v="0.99994477511198387"/>
    <n v="0.99994477511198387"/>
    <n v="0.99994477511198387"/>
    <n v="0.99994477511198387"/>
    <n v="0.99994477511198387"/>
    <n v="0.99994477511198387"/>
  </r>
  <r>
    <x v="1"/>
    <x v="7"/>
    <x v="7"/>
    <x v="1"/>
    <n v="8151.22"/>
    <n v="8043.2299999999987"/>
    <n v="8274.17"/>
    <n v="8160.4370000000008"/>
    <n v="8052.3179999999993"/>
    <n v="8044.3"/>
    <n v="8042.7120000000004"/>
    <n v="8011.317"/>
    <n v="8043.2299999999987"/>
    <n v="1.3248323563834812E-2"/>
    <n v="-1.5083631652685097E-2"/>
    <n v="-1.1307509796080284E-3"/>
    <n v="1.2133398436062448E-2"/>
    <n v="1.31170548703139E-2"/>
    <n v="1.331187233322126E-2"/>
    <n v="1.7163443018345749E-2"/>
    <n v="1.3248323563834812E-2"/>
    <n v="7929.1000000000013"/>
    <n v="8042.6499999999987"/>
    <n v="8056.7190000000001"/>
    <n v="8159.9019999999991"/>
    <n v="8051.7260000000006"/>
    <n v="8043.7599999999993"/>
    <n v="8042.101999999999"/>
    <n v="8010.65"/>
    <n v="8042.6499999999987"/>
    <n v="0.97275009139736146"/>
    <n v="0.99992788966621615"/>
    <n v="0.97371929752470643"/>
    <n v="0.99993443978551622"/>
    <n v="0.99992648079720658"/>
    <n v="0.99993287172283474"/>
    <n v="0.99992415493679232"/>
    <n v="0.999916742777748"/>
    <n v="0.99992788966621615"/>
  </r>
  <r>
    <x v="1"/>
    <x v="7"/>
    <x v="7"/>
    <x v="2"/>
    <n v="4076.64"/>
    <n v="4022.12"/>
    <n v="4296.0370000000003"/>
    <n v="4244.6410000000014"/>
    <n v="4134.7269999999999"/>
    <n v="4157.4139999999998"/>
    <n v="4022.0230000000001"/>
    <n v="4008.670000000001"/>
    <n v="4022.12"/>
    <n v="1.3373758781741822E-2"/>
    <n v="-5.3818095294163919E-2"/>
    <n v="-4.121065387181639E-2"/>
    <n v="-1.4248744063738763E-2"/>
    <n v="-1.9813866321284169E-2"/>
    <n v="1.3397552886690936E-2"/>
    <n v="1.6673044467992979E-2"/>
    <n v="1.3373758781741822E-2"/>
    <n v="3964.79"/>
    <n v="4021.8000000000011"/>
    <n v="4183.893"/>
    <n v="4244.3609999999999"/>
    <n v="4134.42"/>
    <n v="4157.0840000000007"/>
    <n v="4021.701"/>
    <n v="4008.2829999999999"/>
    <n v="4021.8000000000011"/>
    <n v="0.97256318929314345"/>
    <n v="0.99992043996698288"/>
    <n v="0.97389594177145122"/>
    <n v="0.99993403446840345"/>
    <n v="0.9999257508415913"/>
    <n v="0.99992062373388868"/>
    <n v="0.99991994078601731"/>
    <n v="0.99990345925207091"/>
    <n v="0.99992043996698288"/>
  </r>
  <r>
    <x v="1"/>
    <x v="7"/>
    <x v="7"/>
    <x v="3"/>
    <n v="2037.79"/>
    <n v="2011.05"/>
    <n v="2305.7890000000002"/>
    <n v="2283.9319999999998"/>
    <n v="2184.8209999999999"/>
    <n v="2312.67"/>
    <n v="2011.0139999999999"/>
    <n v="2005.05"/>
    <n v="2011.05"/>
    <n v="1.3122058700847492E-2"/>
    <n v="-0.13151453290083878"/>
    <n v="-0.12078869755961107"/>
    <n v="-7.2152184474357006E-2"/>
    <n v="-0.13489123020527144"/>
    <n v="1.3139724898051354E-2"/>
    <n v="1.606642490148642E-2"/>
    <n v="1.3122058700847492E-2"/>
    <n v="1982.41"/>
    <n v="2010.88"/>
    <n v="2245.0329999999999"/>
    <n v="2283.7869999999998"/>
    <n v="2184.6570000000002"/>
    <n v="2312.5160000000001"/>
    <n v="2010.847"/>
    <n v="2004.847"/>
    <n v="2010.88"/>
    <n v="0.9728234999681028"/>
    <n v="0.99991546704457879"/>
    <n v="0.97365066794923549"/>
    <n v="0.99993651299600861"/>
    <n v="0.999924936642407"/>
    <n v="0.9999334103006482"/>
    <n v="0.99991695731606045"/>
    <n v="0.99989875564200392"/>
    <n v="0.99991546704457879"/>
  </r>
  <r>
    <x v="1"/>
    <x v="7"/>
    <x v="7"/>
    <x v="4"/>
    <n v="1020.55"/>
    <n v="1005.96"/>
    <n v="1335.6479999999999"/>
    <n v="1321.604"/>
    <n v="1232.8530000000001"/>
    <n v="1373.4870000000001"/>
    <n v="1005.922"/>
    <n v="1004.066"/>
    <n v="1005.96"/>
    <n v="1.4296212826417048E-2"/>
    <n v="-0.30875312331585908"/>
    <n v="-0.29499191612365894"/>
    <n v="-0.20802802410464957"/>
    <n v="-0.34583018960364525"/>
    <n v="1.4333447650776474E-2"/>
    <n v="1.6152074861594163E-2"/>
    <n v="1.4296212826417048E-2"/>
    <n v="991.37299999999993"/>
    <n v="1005.87"/>
    <n v="1307.8399999999999"/>
    <n v="1321.5360000000001"/>
    <n v="1232.769"/>
    <n v="1373.385"/>
    <n v="1005.831"/>
    <n v="1003.965"/>
    <n v="1005.87"/>
    <n v="0.97141051393856248"/>
    <n v="0.99991053322199686"/>
    <n v="0.97918014327128111"/>
    <n v="0.99994854737122463"/>
    <n v="0.99993186535621026"/>
    <n v="0.99992573646492466"/>
    <n v="0.99990953572941044"/>
    <n v="0.99989940900299379"/>
    <n v="0.99991053322199686"/>
  </r>
  <r>
    <x v="2"/>
    <x v="8"/>
    <x v="8"/>
    <x v="0"/>
    <n v="604.43700000000001"/>
    <n v="604.43700000000001"/>
    <n v="604.43700000000001"/>
    <n v="604.43700000000001"/>
    <n v="604.43700000000001"/>
    <n v="604.43700000000001"/>
    <n v="604.43700000000001"/>
    <n v="604.43700000000001"/>
    <n v="604.43700000000001"/>
    <n v="0"/>
    <n v="0"/>
    <n v="0"/>
    <n v="0"/>
    <n v="0"/>
    <n v="0"/>
    <n v="0"/>
    <n v="0"/>
    <n v="539.30700000000002"/>
    <n v="604.37799999999993"/>
    <n v="539.30700000000002"/>
    <n v="604.37799999999993"/>
    <n v="604.37799999999993"/>
    <n v="604.37799999999993"/>
    <n v="604.37799999999993"/>
    <n v="604.37799999999993"/>
    <n v="604.37799999999993"/>
    <n v="0.89224683465770627"/>
    <n v="0.99990238850368185"/>
    <n v="0.89224683465770627"/>
    <n v="0.99990238850368185"/>
    <n v="0.99990238850368185"/>
    <n v="0.99990238850368185"/>
    <n v="0.99990238850368185"/>
    <n v="0.99990238850368185"/>
    <n v="0.99990238850368185"/>
  </r>
  <r>
    <x v="2"/>
    <x v="8"/>
    <x v="8"/>
    <x v="1"/>
    <n v="349.91199999999992"/>
    <n v="317.82100000000003"/>
    <n v="323.28530000000001"/>
    <n v="304.51369999999997"/>
    <n v="304.08049999999997"/>
    <n v="316.66550000000001"/>
    <n v="304.57510000000002"/>
    <n v="304.14879999999999"/>
    <n v="316.68610000000001"/>
    <n v="9.1711630352774132E-2"/>
    <n v="7.6095418276595037E-2"/>
    <n v="0.12974204942957074"/>
    <n v="0.13098007499028316"/>
    <n v="9.5013889206428809E-2"/>
    <n v="0.1295665767392942"/>
    <n v="0.13078488305631111"/>
    <n v="9.4955017261482658E-2"/>
    <n v="309.11700000000008"/>
    <n v="317.46899999999999"/>
    <n v="293.09230000000002"/>
    <n v="303.9615"/>
    <n v="303.42849999999999"/>
    <n v="316.35590000000002"/>
    <n v="303.88279999999997"/>
    <n v="303.41099999999989"/>
    <n v="316.33740000000012"/>
    <n v="0.88341354397677174"/>
    <n v="0.99889245833346429"/>
    <n v="0.906605713281736"/>
    <n v="0.99818661689112853"/>
    <n v="0.99785583093950458"/>
    <n v="0.99902231218746596"/>
    <n v="0.99772699738094139"/>
    <n v="0.99757421367435906"/>
    <n v="0.998898909677438"/>
  </r>
  <r>
    <x v="2"/>
    <x v="8"/>
    <x v="8"/>
    <x v="2"/>
    <n v="222.91800000000001"/>
    <n v="199.52199999999999"/>
    <n v="201.60220000000001"/>
    <n v="187.4973"/>
    <n v="184.654"/>
    <n v="202.965"/>
    <n v="189.44159999999999"/>
    <n v="184.71940000000001"/>
    <n v="199.49639999999999"/>
    <n v="0.10495339093298887"/>
    <n v="9.5621708430902827E-2"/>
    <n v="0.1588956477269669"/>
    <n v="0.17165056209009594"/>
    <n v="8.9508249670282355E-2"/>
    <n v="0.1501736064382419"/>
    <n v="0.17135718066733058"/>
    <n v="0.10506823136758814"/>
    <n v="193.10300000000001"/>
    <n v="198.958"/>
    <n v="182.63140000000001"/>
    <n v="187.16980000000001"/>
    <n v="184.44319999999999"/>
    <n v="202.19059999999999"/>
    <n v="189.1268"/>
    <n v="184.49359999999999"/>
    <n v="198.94130000000001"/>
    <n v="0.86625126728213964"/>
    <n v="0.99717324405328744"/>
    <n v="0.90589983641051541"/>
    <n v="0.99825330818097124"/>
    <n v="0.99885840545019333"/>
    <n v="0.99618456384105625"/>
    <n v="0.99833827416998167"/>
    <n v="0.99877760538416638"/>
    <n v="0.99721749364900825"/>
  </r>
  <r>
    <x v="2"/>
    <x v="8"/>
    <x v="8"/>
    <x v="3"/>
    <n v="154.15600000000001"/>
    <n v="140.47800000000001"/>
    <n v="150.5044"/>
    <n v="133.90190000000001"/>
    <n v="132.11170000000001"/>
    <n v="167.7936"/>
    <n v="135.36330000000001"/>
    <n v="132.11170000000001"/>
    <n v="140.47800000000001"/>
    <n v="8.8728301201380394E-2"/>
    <n v="2.3687692986325552E-2"/>
    <n v="0.13138703650847189"/>
    <n v="0.14299994810451744"/>
    <n v="-8.8466229014764211E-2"/>
    <n v="0.12190702924310436"/>
    <n v="0.14299994810451744"/>
    <n v="8.8728301201380394E-2"/>
    <n v="131.48099999999999"/>
    <n v="139.28200000000001"/>
    <n v="129.38730000000001"/>
    <n v="133.59469999999999"/>
    <n v="131.86199999999999"/>
    <n v="166.65389999999999"/>
    <n v="134.84119999999999"/>
    <n v="131.86199999999999"/>
    <n v="139.28200000000001"/>
    <n v="0.85290874179402676"/>
    <n v="0.99148621136405701"/>
    <n v="0.85969114524226542"/>
    <n v="0.99770578311435443"/>
    <n v="0.99810993273116599"/>
    <n v="0.99320772663558088"/>
    <n v="0.99614297228273818"/>
    <n v="0.99810993273116599"/>
    <n v="0.99148621136405701"/>
  </r>
  <r>
    <x v="2"/>
    <x v="8"/>
    <x v="8"/>
    <x v="4"/>
    <n v="131.73500000000001"/>
    <n v="107.648"/>
    <n v="125.0543"/>
    <n v="108.005"/>
    <n v="107.64149999999999"/>
    <n v="113.8237"/>
    <n v="107.8811"/>
    <n v="107.648"/>
    <n v="107.648"/>
    <n v="0.18284434660492668"/>
    <n v="5.0713174175428061E-2"/>
    <n v="0.18013436064827126"/>
    <n v="0.18289368808593023"/>
    <n v="0.13596462595361908"/>
    <n v="0.18107488518616927"/>
    <n v="0.18284434660492668"/>
    <n v="0.18284434660492668"/>
    <n v="104.822"/>
    <n v="107.10299999999999"/>
    <n v="104.8563"/>
    <n v="107.1284"/>
    <n v="107.10299999999999"/>
    <n v="112.64879999999999"/>
    <n v="107.10299999999999"/>
    <n v="107.10299999999999"/>
    <n v="107.10299999999999"/>
    <n v="0.7957034956541541"/>
    <n v="0.99493720273483943"/>
    <n v="0.83848616161139611"/>
    <n v="0.99188370908754231"/>
    <n v="0.99499728264656295"/>
    <n v="0.98967789660676986"/>
    <n v="0.99278742986491597"/>
    <n v="0.99493720273483943"/>
    <n v="0.99493720273483943"/>
  </r>
  <r>
    <x v="2"/>
    <x v="9"/>
    <x v="9"/>
    <x v="0"/>
    <n v="14094.5"/>
    <n v="14094.5"/>
    <n v="14094.5"/>
    <n v="14094.5"/>
    <n v="14094.5"/>
    <n v="14094.5"/>
    <n v="14094.5"/>
    <n v="14094.5"/>
    <n v="14094.5"/>
    <n v="0"/>
    <n v="0"/>
    <n v="0"/>
    <n v="0"/>
    <n v="0"/>
    <n v="0"/>
    <n v="0"/>
    <n v="0"/>
    <n v="13218.4"/>
    <n v="14093.8"/>
    <n v="13218.4"/>
    <n v="14093.8"/>
    <n v="14093.8"/>
    <n v="14093.8"/>
    <n v="14093.8"/>
    <n v="14093.8"/>
    <n v="14093.8"/>
    <n v="0.93784100180921637"/>
    <n v="0.99995033523714916"/>
    <n v="0.93784100180921637"/>
    <n v="0.99995033523714916"/>
    <n v="0.99995033523714916"/>
    <n v="0.99995033523714916"/>
    <n v="0.99995033523714916"/>
    <n v="0.99995033523714916"/>
    <n v="0.99995033523714916"/>
  </r>
  <r>
    <x v="2"/>
    <x v="9"/>
    <x v="9"/>
    <x v="1"/>
    <n v="7034.0399999999991"/>
    <n v="6883.5"/>
    <n v="7053.63"/>
    <n v="6880.8459999999995"/>
    <n v="6836.6789999999992"/>
    <n v="7243.753999999999"/>
    <n v="6877.6740000000009"/>
    <n v="6840.1399999999994"/>
    <n v="6883.5"/>
    <n v="2.1401641162120073E-2"/>
    <n v="-2.7850282341301811E-3"/>
    <n v="2.1778949224058937E-2"/>
    <n v="2.8057986590920708E-2"/>
    <n v="-2.9814160852084999E-2"/>
    <n v="2.2229899176006703E-2"/>
    <n v="2.7565950719643285E-2"/>
    <n v="2.1401641162120073E-2"/>
    <n v="6644.5399999999991"/>
    <n v="6874.4799999999987"/>
    <n v="6644.1639999999989"/>
    <n v="6871.6660000000002"/>
    <n v="6830.7359999999999"/>
    <n v="7233.125"/>
    <n v="6867.7610000000004"/>
    <n v="6833.1849999999986"/>
    <n v="6874.4799999999987"/>
    <n v="0.94462641668230485"/>
    <n v="0.99868962010605056"/>
    <n v="0.94194960608934675"/>
    <n v="0.99866586172688654"/>
    <n v="0.99913071829173206"/>
    <n v="0.99853266690171993"/>
    <n v="0.99855866968978169"/>
    <n v="0.99898320794603612"/>
    <n v="0.99868962010605056"/>
  </r>
  <r>
    <x v="2"/>
    <x v="9"/>
    <x v="9"/>
    <x v="2"/>
    <n v="3771.6799999999989"/>
    <n v="3636.98"/>
    <n v="3649.444"/>
    <n v="3583.143"/>
    <n v="3479.0569999999989"/>
    <n v="4359.5030000000006"/>
    <n v="3599.9229999999998"/>
    <n v="3477.41"/>
    <n v="3636.98"/>
    <n v="3.5713528189029543E-2"/>
    <n v="3.2408900012726158E-2"/>
    <n v="4.99875387095403E-2"/>
    <n v="7.7584259534212899E-2"/>
    <n v="-0.15585176897297806"/>
    <n v="4.5538592881686463E-2"/>
    <n v="7.8020934967971606E-2"/>
    <n v="3.5713528189029543E-2"/>
    <n v="3525.11"/>
    <n v="3630.75"/>
    <n v="3437.2310000000002"/>
    <n v="3575.8440000000001"/>
    <n v="3471.91"/>
    <n v="4350.7"/>
    <n v="3592.1610000000001"/>
    <n v="3470.4679999999998"/>
    <n v="3630.75"/>
    <n v="0.93462594917914599"/>
    <n v="0.99828704034666127"/>
    <n v="0.94185059422750428"/>
    <n v="0.99796296156754005"/>
    <n v="0.99794570770182867"/>
    <n v="0.99798073312485369"/>
    <n v="0.99784384277108162"/>
    <n v="0.99800368665184724"/>
    <n v="0.99828704034666127"/>
  </r>
  <r>
    <x v="2"/>
    <x v="9"/>
    <x v="9"/>
    <x v="3"/>
    <n v="2170.0300000000002"/>
    <n v="2072.12"/>
    <n v="2055.306"/>
    <n v="2016.2629999999999"/>
    <n v="1838.8530000000001"/>
    <n v="2838.3560000000002"/>
    <n v="2041.9179999999999"/>
    <n v="1820.3779999999999"/>
    <n v="2072.12"/>
    <n v="4.5119191900572939E-2"/>
    <n v="5.2867471878269033E-2"/>
    <n v="7.0859389040704629E-2"/>
    <n v="0.15261401916102546"/>
    <n v="-0.30798007400819344"/>
    <n v="5.9036971839099138E-2"/>
    <n v="0.16112772634479719"/>
    <n v="4.5119191900572939E-2"/>
    <n v="2011.4"/>
    <n v="2066.21"/>
    <n v="1938.145"/>
    <n v="2011.56"/>
    <n v="1833.6959999999999"/>
    <n v="2831.4609999999998"/>
    <n v="2037.3789999999999"/>
    <n v="1814.809"/>
    <n v="2066.21"/>
    <n v="0.92689962811574034"/>
    <n v="0.99714784858019812"/>
    <n v="0.94299583614313387"/>
    <n v="0.99766746699215336"/>
    <n v="0.99719553439018771"/>
    <n v="0.99757077688633833"/>
    <n v="0.99777708997129166"/>
    <n v="0.99694074527378385"/>
    <n v="0.99714784858019812"/>
  </r>
  <r>
    <x v="2"/>
    <x v="9"/>
    <x v="9"/>
    <x v="4"/>
    <n v="1368.62"/>
    <n v="1297.92"/>
    <n v="1303.0309999999999"/>
    <n v="1233.633"/>
    <n v="1009.3937"/>
    <n v="1928.1320000000001"/>
    <n v="1262.5450000000001"/>
    <n v="1008.6476"/>
    <n v="1297.92"/>
    <n v="5.1657874355189773E-2"/>
    <n v="4.7923455743741836E-2"/>
    <n v="9.8630006868232131E-2"/>
    <n v="0.26247336733351839"/>
    <n v="-0.40881471847554485"/>
    <n v="7.7505078107874964E-2"/>
    <n v="0.26301851500051138"/>
    <n v="5.1657874355189773E-2"/>
    <n v="1260.33"/>
    <n v="1292.8900000000001"/>
    <n v="1214.5309999999999"/>
    <n v="1229.499"/>
    <n v="1005.4189"/>
    <n v="1922.652"/>
    <n v="1258.4680000000001"/>
    <n v="1004.7338999999999"/>
    <n v="1292.8900000000001"/>
    <n v="0.92087650333912996"/>
    <n v="0.99612456854043396"/>
    <n v="0.93208143167737378"/>
    <n v="0.99664892232941238"/>
    <n v="0.99606219060015933"/>
    <n v="0.99715787093414765"/>
    <n v="0.99677080816921382"/>
    <n v="0.99611985395097347"/>
    <n v="0.99612456854043396"/>
  </r>
  <r>
    <x v="2"/>
    <x v="10"/>
    <x v="10"/>
    <x v="0"/>
    <n v="2809.08"/>
    <n v="2809.08"/>
    <n v="2809.08"/>
    <n v="2809.08"/>
    <n v="2809.08"/>
    <n v="2809.08"/>
    <n v="2809.08"/>
    <n v="2809.08"/>
    <n v="2809.08"/>
    <n v="0"/>
    <n v="0"/>
    <n v="0"/>
    <n v="0"/>
    <n v="0"/>
    <n v="0"/>
    <n v="0"/>
    <n v="0"/>
    <n v="2578.349999999999"/>
    <n v="2808.89"/>
    <n v="2578.34"/>
    <n v="2808.89"/>
    <n v="2808.89"/>
    <n v="2808.89"/>
    <n v="2808.89"/>
    <n v="2808.89"/>
    <n v="2808.89"/>
    <n v="0.91786278781665143"/>
    <n v="0.99993236219687587"/>
    <n v="0.91785922793227681"/>
    <n v="0.99993236219687587"/>
    <n v="0.99993236219687587"/>
    <n v="0.99993236219687587"/>
    <n v="0.99993236219687587"/>
    <n v="0.99993236219687587"/>
    <n v="0.99993236219687587"/>
  </r>
  <r>
    <x v="2"/>
    <x v="10"/>
    <x v="10"/>
    <x v="1"/>
    <n v="1477.4"/>
    <n v="1374.82"/>
    <n v="1424.75"/>
    <n v="1358.8789999999999"/>
    <n v="1354.1379999999999"/>
    <n v="1367.586"/>
    <n v="1358.403"/>
    <n v="1354.0840000000001"/>
    <n v="1360.768"/>
    <n v="6.943278732909175E-2"/>
    <n v="3.5636929741437721E-2"/>
    <n v="8.0222688506836448E-2"/>
    <n v="8.3431704345471883E-2"/>
    <n v="7.4329227020441369E-2"/>
    <n v="8.0544876133748514E-2"/>
    <n v="8.3468255042642492E-2"/>
    <n v="7.8944090970624103E-2"/>
    <n v="1331.93"/>
    <n v="1372.88"/>
    <n v="1311.6"/>
    <n v="1356.5350000000001"/>
    <n v="1352.6659999999999"/>
    <n v="1365.3109999999999"/>
    <n v="1356.336"/>
    <n v="1352.6389999999999"/>
    <n v="1358.8969999999999"/>
    <n v="0.90153648301069444"/>
    <n v="0.99858890618408236"/>
    <n v="0.92058255834356895"/>
    <n v="0.99827504877181872"/>
    <n v="0.99891296160361798"/>
    <n v="0.99833648487188364"/>
    <n v="0.99847836025097114"/>
    <n v="0.99893285793200415"/>
    <n v="0.99862504115323103"/>
  </r>
  <r>
    <x v="2"/>
    <x v="10"/>
    <x v="10"/>
    <x v="2"/>
    <n v="810.93299999999999"/>
    <n v="731.56400000000008"/>
    <n v="748.98470000000009"/>
    <n v="708.5388999999999"/>
    <n v="705.33749999999998"/>
    <n v="755.50909999999999"/>
    <n v="708.48029999999994"/>
    <n v="705.37440000000004"/>
    <n v="728.64300000000003"/>
    <n v="9.7873683769189215E-2"/>
    <n v="7.6391391150686813E-2"/>
    <n v="0.12626702822551319"/>
    <n v="0.13021482662562753"/>
    <n v="6.8345843614700599E-2"/>
    <n v="0.12633929066889626"/>
    <n v="0.13016932348295107"/>
    <n v="0.101475707610863"/>
    <n v="704.96500000000003"/>
    <n v="730.35799999999995"/>
    <n v="678.52369999999996"/>
    <n v="705.76140000000009"/>
    <n v="703.14380000000006"/>
    <n v="753.50530000000003"/>
    <n v="705.68079999999998"/>
    <n v="703.22979999999995"/>
    <n v="727.14850000000001"/>
    <n v="0.86932582593136554"/>
    <n v="0.99835147710931627"/>
    <n v="0.90592464705887832"/>
    <n v="0.99607996117079833"/>
    <n v="0.99688985769223959"/>
    <n v="0.99734774869025411"/>
    <n v="0.99604858455485645"/>
    <n v="0.99695962881556222"/>
    <n v="0.99794892697795767"/>
  </r>
  <r>
    <x v="2"/>
    <x v="10"/>
    <x v="10"/>
    <x v="3"/>
    <n v="480.77699999999987"/>
    <n v="406.99"/>
    <n v="423.47609999999997"/>
    <n v="389.32760000000002"/>
    <n v="380.68029999999999"/>
    <n v="481.82830000000001"/>
    <n v="386.29259999999999"/>
    <n v="380.95600000000002"/>
    <n v="406.99"/>
    <n v="0.15347447985240534"/>
    <n v="0.11918394598743266"/>
    <n v="0.19021167817928036"/>
    <n v="0.20819777152401198"/>
    <n v="-2.1866686634346901E-3"/>
    <n v="0.19652437616608096"/>
    <n v="0.20762432479091114"/>
    <n v="0.15347447985240534"/>
    <n v="391.411"/>
    <n v="405.16699999999997"/>
    <n v="366.28120000000001"/>
    <n v="387.01299999999998"/>
    <n v="378.11090000000002"/>
    <n v="479.02249999999998"/>
    <n v="383.90069999999997"/>
    <n v="378.16629999999998"/>
    <n v="405.16699999999997"/>
    <n v="0.81412172379294367"/>
    <n v="0.99552077446620302"/>
    <n v="0.86493948536883203"/>
    <n v="0.99405487820539817"/>
    <n v="0.99325050442589236"/>
    <n v="0.99417676379739417"/>
    <n v="0.99380806155748258"/>
    <n v="0.9926771070674828"/>
    <n v="0.99552077446620302"/>
  </r>
  <r>
    <x v="2"/>
    <x v="10"/>
    <x v="10"/>
    <x v="4"/>
    <n v="293.99900000000002"/>
    <n v="229.381"/>
    <n v="270.35140000000001"/>
    <n v="230.95830000000001"/>
    <n v="220.6352"/>
    <n v="318.18729999999999"/>
    <n v="225.89760000000001"/>
    <n v="220.06739999999999"/>
    <n v="229.381"/>
    <n v="0.21978986323082739"/>
    <n v="8.0434287191453069E-2"/>
    <n v="0.21442487899618709"/>
    <n v="0.24953758346116831"/>
    <n v="-8.2273409093228098E-2"/>
    <n v="0.23163820285103012"/>
    <n v="0.25146888254721961"/>
    <n v="0.21978986323082739"/>
    <n v="211.2"/>
    <n v="225.54400000000001"/>
    <n v="219.21940000000001"/>
    <n v="227.471"/>
    <n v="217.1199"/>
    <n v="314.83519999999999"/>
    <n v="222.29580000000001"/>
    <n v="216.48400000000001"/>
    <n v="225.54400000000001"/>
    <n v="0.71836979037343651"/>
    <n v="0.98327237216683161"/>
    <n v="0.81086837353163321"/>
    <n v="0.98490073749243912"/>
    <n v="0.98406736549743656"/>
    <n v="0.98946501007425502"/>
    <n v="0.98405560749649401"/>
    <n v="0.98371680676011086"/>
    <n v="0.98327237216683161"/>
  </r>
  <r>
    <x v="2"/>
    <x v="11"/>
    <x v="11"/>
    <x v="0"/>
    <n v="13236.3"/>
    <n v="13236.3"/>
    <n v="13236.3"/>
    <n v="13236.3"/>
    <n v="13236.3"/>
    <n v="13236.3"/>
    <n v="13236.3"/>
    <n v="13236.3"/>
    <n v="13236.3"/>
    <n v="0"/>
    <n v="0"/>
    <n v="0"/>
    <n v="0"/>
    <n v="0"/>
    <n v="0"/>
    <n v="0"/>
    <n v="0"/>
    <n v="11626.7"/>
    <n v="13235"/>
    <n v="11626.7"/>
    <n v="13235"/>
    <n v="13235"/>
    <n v="13235"/>
    <n v="13235"/>
    <n v="13235"/>
    <n v="13235"/>
    <n v="0.87839501975627643"/>
    <n v="0.99990178524209938"/>
    <n v="0.87839501975627643"/>
    <n v="0.99990178524209938"/>
    <n v="0.99990178524209938"/>
    <n v="0.99990178524209938"/>
    <n v="0.99990178524209938"/>
    <n v="0.99990178524209938"/>
    <n v="0.99990178524209938"/>
  </r>
  <r>
    <x v="2"/>
    <x v="11"/>
    <x v="11"/>
    <x v="1"/>
    <n v="6645.7800000000007"/>
    <n v="6281.68"/>
    <n v="6589.8619999999992"/>
    <n v="6248.5039999999999"/>
    <n v="6192.8689999999997"/>
    <n v="6597.509"/>
    <n v="6270.7420000000002"/>
    <n v="6185.8770000000004"/>
    <n v="6281.68"/>
    <n v="5.4786646563684073E-2"/>
    <n v="8.4140612539087174E-3"/>
    <n v="5.977868662519685E-2"/>
    <n v="6.8150164465269836E-2"/>
    <n v="7.2634062517869438E-3"/>
    <n v="5.6432503031999315E-2"/>
    <n v="6.9202260682718994E-2"/>
    <n v="5.4786646563684073E-2"/>
    <n v="5871.0200000000013"/>
    <n v="6265.82"/>
    <n v="5860.2370000000001"/>
    <n v="6225.2469999999994"/>
    <n v="6178.3869999999997"/>
    <n v="6575.3649999999998"/>
    <n v="6250.6809999999996"/>
    <n v="6172.2430000000004"/>
    <n v="6265.82"/>
    <n v="0.8834207572324092"/>
    <n v="0.9974751977178079"/>
    <n v="0.88928068599919097"/>
    <n v="0.99627798909947074"/>
    <n v="0.99766150390069608"/>
    <n v="0.99664358169121103"/>
    <n v="0.99680085705965882"/>
    <n v="0.99779594712277664"/>
    <n v="0.9974751977178079"/>
  </r>
  <r>
    <x v="2"/>
    <x v="11"/>
    <x v="11"/>
    <x v="2"/>
    <n v="3397.08"/>
    <n v="3211.400000000001"/>
    <n v="3393.4810000000002"/>
    <n v="3204.2860000000001"/>
    <n v="3177.12"/>
    <n v="3922.6969999999992"/>
    <n v="3204.8820000000001"/>
    <n v="3174.3679999999999"/>
    <n v="3211.400000000001"/>
    <n v="5.4658706889445914E-2"/>
    <n v="1.0594392831489708E-3"/>
    <n v="5.6752858337160109E-2"/>
    <n v="6.4749726235472829E-2"/>
    <n v="-0.15472611772463388"/>
    <n v="5.6577413543396057E-2"/>
    <n v="6.555983373956456E-2"/>
    <n v="5.4658706889445914E-2"/>
    <n v="2985.79"/>
    <n v="3194.650000000001"/>
    <n v="2981.078"/>
    <n v="3186.511"/>
    <n v="3162.3339999999998"/>
    <n v="3906.3179999999988"/>
    <n v="3187.4029999999998"/>
    <n v="3159.2449999999999"/>
    <n v="3194.650000000001"/>
    <n v="0.87892837377983446"/>
    <n v="0.99478420626518027"/>
    <n v="0.87847198790858116"/>
    <n v="0.99445274235820391"/>
    <n v="0.99534609961222742"/>
    <n v="0.995824556421258"/>
    <n v="0.99454613305575668"/>
    <n v="0.99523590207562573"/>
    <n v="0.99478420626518027"/>
  </r>
  <r>
    <x v="2"/>
    <x v="11"/>
    <x v="11"/>
    <x v="3"/>
    <n v="1840.82"/>
    <n v="1696.9"/>
    <n v="1812.633"/>
    <n v="1688.1679999999999"/>
    <n v="1655.97"/>
    <n v="2470.6370000000002"/>
    <n v="1682.0820000000001"/>
    <n v="1657.9190000000001"/>
    <n v="1696.9"/>
    <n v="7.8182549081387567E-2"/>
    <n v="1.5312197824882334E-2"/>
    <n v="8.2926087287187256E-2"/>
    <n v="0.10041720537586506"/>
    <n v="-0.34213937267087507"/>
    <n v="8.6232222596451497E-2"/>
    <n v="9.9358438087374018E-2"/>
    <n v="7.8182549081387567E-2"/>
    <n v="1557.36"/>
    <n v="1683.99"/>
    <n v="1569.7"/>
    <n v="1676.875"/>
    <n v="1646.0129999999999"/>
    <n v="2459.0450000000001"/>
    <n v="1669.5350000000001"/>
    <n v="1645.9369999999999"/>
    <n v="1683.99"/>
    <n v="0.84601427624645531"/>
    <n v="0.99239200895751067"/>
    <n v="0.86597783445407872"/>
    <n v="0.99331049990285336"/>
    <n v="0.99398720991322298"/>
    <n v="0.99530809260931485"/>
    <n v="0.99254079170932208"/>
    <n v="0.99277286767326978"/>
    <n v="0.99239200895751067"/>
  </r>
  <r>
    <x v="2"/>
    <x v="11"/>
    <x v="11"/>
    <x v="4"/>
    <n v="1039.6400000000001"/>
    <n v="928.79200000000003"/>
    <n v="1056.568"/>
    <n v="952.49679999999989"/>
    <n v="906.81510000000003"/>
    <n v="1630.671"/>
    <n v="922.36359999999991"/>
    <n v="901.80330000000015"/>
    <n v="928.79200000000003"/>
    <n v="0.1066215228348275"/>
    <n v="-1.6282559347466318E-2"/>
    <n v="8.3820553268439263E-2"/>
    <n v="0.12776047477973151"/>
    <n v="-0.56849582547805"/>
    <n v="0.11280481705205665"/>
    <n v="0.13258118194759719"/>
    <n v="0.1066215228348275"/>
    <n v="857.93600000000004"/>
    <n v="919.68600000000004"/>
    <n v="885.39779999999996"/>
    <n v="944.55119999999988"/>
    <n v="899.57989999999995"/>
    <n v="1622.28"/>
    <n v="913.77049999999997"/>
    <n v="894.21289999999988"/>
    <n v="919.68600000000004"/>
    <n v="0.82522411604016765"/>
    <n v="0.99019586732013198"/>
    <n v="0.83799414708755138"/>
    <n v="0.99165813470449449"/>
    <n v="0.9920213062177724"/>
    <n v="0.99485426551401224"/>
    <n v="0.99068360893686613"/>
    <n v="0.99158308691041575"/>
    <n v="0.99019586732013198"/>
  </r>
  <r>
    <x v="3"/>
    <x v="12"/>
    <x v="12"/>
    <x v="0"/>
    <n v="260.20200000000011"/>
    <n v="260.20200000000011"/>
    <n v="260.20200000000011"/>
    <n v="260.20200000000011"/>
    <n v="260.20200000000011"/>
    <n v="260.20200000000011"/>
    <n v="260.20200000000011"/>
    <n v="260.20200000000011"/>
    <n v="260.20200000000011"/>
    <n v="0"/>
    <n v="0"/>
    <n v="0"/>
    <n v="0"/>
    <n v="0"/>
    <n v="0"/>
    <n v="0"/>
    <n v="0"/>
    <n v="221.726"/>
    <n v="260.12200000000001"/>
    <n v="221.726"/>
    <n v="260.12200000000001"/>
    <n v="260.12200000000001"/>
    <n v="260.12200000000001"/>
    <n v="260.12200000000001"/>
    <n v="260.12200000000001"/>
    <n v="260.12200000000001"/>
    <n v="0.852130268022536"/>
    <n v="0.99969254655997997"/>
    <n v="0.852130268022536"/>
    <n v="0.99969254655997997"/>
    <n v="0.99969254655997997"/>
    <n v="0.99969254655997997"/>
    <n v="0.99969254655997997"/>
    <n v="0.99969254655997997"/>
    <n v="0.99969254655997997"/>
  </r>
  <r>
    <x v="3"/>
    <x v="12"/>
    <x v="12"/>
    <x v="1"/>
    <n v="128.541"/>
    <n v="125.851"/>
    <n v="128.89510000000001"/>
    <n v="122.9819"/>
    <n v="122.55289999999999"/>
    <n v="124.7088"/>
    <n v="123.5063"/>
    <n v="122.7723"/>
    <n v="124.56440000000001"/>
    <n v="2.0927174986969121E-2"/>
    <n v="-2.7547630717048781E-3"/>
    <n v="4.3247679728646897E-2"/>
    <n v="4.6585136260026007E-2"/>
    <n v="2.9813055756529049E-2"/>
    <n v="3.9168047549031054E-2"/>
    <n v="4.487828786146051E-2"/>
    <n v="3.093643273352464E-2"/>
    <n v="111.035"/>
    <n v="121.634"/>
    <n v="110.8634"/>
    <n v="119.75660000000001"/>
    <n v="119.6709"/>
    <n v="120.7803"/>
    <n v="119.9194"/>
    <n v="119.6459"/>
    <n v="120.72750000000001"/>
    <n v="0.86380999058666108"/>
    <n v="0.96649212163590281"/>
    <n v="0.86010562077224029"/>
    <n v="0.97377418953520811"/>
    <n v="0.97648362462251004"/>
    <n v="0.9684986143720411"/>
    <n v="0.97095775681078622"/>
    <n v="0.97453497246528731"/>
    <n v="0.96919745930619017"/>
  </r>
  <r>
    <x v="3"/>
    <x v="12"/>
    <x v="12"/>
    <x v="2"/>
    <n v="67.847399999999993"/>
    <n v="65.900099999999981"/>
    <n v="68.536910000000006"/>
    <n v="64.387169999999998"/>
    <n v="63.336979999999997"/>
    <n v="65.416160000000019"/>
    <n v="64.715560000000011"/>
    <n v="63.760770000000001"/>
    <n v="65.433089999999993"/>
    <n v="2.8701173515860785E-2"/>
    <n v="-1.0162659143902535E-2"/>
    <n v="5.100018571087464E-2"/>
    <n v="6.6478892337805087E-2"/>
    <n v="3.5833945000102792E-2"/>
    <n v="4.6160059191656319E-2"/>
    <n v="6.0232669195871807E-2"/>
    <n v="3.5584414435925339E-2"/>
    <n v="55.887999999999998"/>
    <n v="62.00419999999999"/>
    <n v="56.043780000000012"/>
    <n v="60.747210000000003"/>
    <n v="60.439280000000011"/>
    <n v="61.927059999999997"/>
    <n v="60.845479999999988"/>
    <n v="60.446240000000003"/>
    <n v="61.744799999999998"/>
    <n v="0.82373090199477073"/>
    <n v="0.94088172855579899"/>
    <n v="0.81771676020993667"/>
    <n v="0.94346761940305812"/>
    <n v="0.95424947637225543"/>
    <n v="0.94666302638369448"/>
    <n v="0.94019861683959738"/>
    <n v="0.94801615476099177"/>
    <n v="0.94363264825182491"/>
  </r>
  <r>
    <x v="3"/>
    <x v="12"/>
    <x v="12"/>
    <x v="3"/>
    <n v="42.1494"/>
    <n v="40.499099999999999"/>
    <n v="43.18844"/>
    <n v="40.067089999999993"/>
    <n v="38.528080000000003"/>
    <n v="41.257350000000002"/>
    <n v="40.037349999999989"/>
    <n v="38.655830000000002"/>
    <n v="40.499099999999999"/>
    <n v="3.9153582257398713E-2"/>
    <n v="-2.4651359212705282E-2"/>
    <n v="4.9403075725870514E-2"/>
    <n v="8.5916288250840994E-2"/>
    <n v="2.1164002334552748E-2"/>
    <n v="5.0108661096006361E-2"/>
    <n v="8.2885402876434741E-2"/>
    <n v="3.9153582257398713E-2"/>
    <n v="36.177300000000002"/>
    <n v="38.878"/>
    <n v="36.741869999999992"/>
    <n v="38.720999999999997"/>
    <n v="37.560860000000012"/>
    <n v="39.73366"/>
    <n v="38.473200000000013"/>
    <n v="37.740079999999999"/>
    <n v="38.878"/>
    <n v="0.85831115033665961"/>
    <n v="0.95997194999395052"/>
    <n v="0.85073390008993133"/>
    <n v="0.96640409872541289"/>
    <n v="0.97489571242584649"/>
    <n v="0.96306864110273682"/>
    <n v="0.96093272906423688"/>
    <n v="0.97631017106604612"/>
    <n v="0.95997194999395052"/>
  </r>
  <r>
    <x v="3"/>
    <x v="12"/>
    <x v="12"/>
    <x v="4"/>
    <n v="25.499500000000001"/>
    <n v="23.393000000000001"/>
    <n v="26.474360000000001"/>
    <n v="23.933450000000001"/>
    <n v="23.578669999999999"/>
    <n v="24.262789999999999"/>
    <n v="23.692969999999999"/>
    <n v="23.641390000000001"/>
    <n v="23.393000000000001"/>
    <n v="8.2609462930645708E-2"/>
    <n v="-3.8230553540265479E-2"/>
    <n v="6.1414929704504032E-2"/>
    <n v="7.5328143689092034E-2"/>
    <n v="4.8499382340830295E-2"/>
    <n v="7.0845702856918852E-2"/>
    <n v="7.2868487617404262E-2"/>
    <n v="8.2609462930645708E-2"/>
    <n v="21.4465"/>
    <n v="22.723600000000001"/>
    <n v="21.41112"/>
    <n v="22.712240000000001"/>
    <n v="22.452369999999998"/>
    <n v="23.002659999999999"/>
    <n v="22.675519999999999"/>
    <n v="22.4132"/>
    <n v="22.723600000000001"/>
    <n v="0.84105570697464649"/>
    <n v="0.97138460223143674"/>
    <n v="0.80874929554482144"/>
    <n v="0.94897476126509139"/>
    <n v="0.9522322505891978"/>
    <n v="0.94806326889858916"/>
    <n v="0.95705688227351826"/>
    <n v="0.94804916292992913"/>
    <n v="0.97138460223143674"/>
  </r>
  <r>
    <x v="3"/>
    <x v="13"/>
    <x v="13"/>
    <x v="0"/>
    <n v="446.67500000000001"/>
    <n v="446.67500000000001"/>
    <n v="446.67500000000001"/>
    <n v="446.67500000000001"/>
    <n v="446.67500000000001"/>
    <n v="446.67500000000001"/>
    <n v="446.67500000000001"/>
    <n v="446.67500000000001"/>
    <n v="446.67500000000001"/>
    <n v="0"/>
    <n v="0"/>
    <n v="0"/>
    <n v="0"/>
    <n v="0"/>
    <n v="0"/>
    <n v="0"/>
    <n v="0"/>
    <n v="362.63299999999992"/>
    <n v="446.50200000000012"/>
    <n v="362.63299999999992"/>
    <n v="446.50200000000012"/>
    <n v="446.50200000000012"/>
    <n v="446.50200000000012"/>
    <n v="446.50200000000012"/>
    <n v="446.50200000000012"/>
    <n v="446.50200000000012"/>
    <n v="0.8118497789220348"/>
    <n v="0.99961269379302653"/>
    <n v="0.8118497789220348"/>
    <n v="0.99961269379302653"/>
    <n v="0.99961269379302653"/>
    <n v="0.99961269379302653"/>
    <n v="0.99961269379302653"/>
    <n v="0.99961269379302653"/>
    <n v="0.99961269379302653"/>
  </r>
  <r>
    <x v="3"/>
    <x v="13"/>
    <x v="13"/>
    <x v="1"/>
    <n v="217.43700000000001"/>
    <n v="213.339"/>
    <n v="226.3082"/>
    <n v="206.892"/>
    <n v="204.8672"/>
    <n v="210.27760000000001"/>
    <n v="207.76329999999999"/>
    <n v="205.1858"/>
    <n v="209.9623"/>
    <n v="1.8846838394569521E-2"/>
    <n v="-4.0798944061958116E-2"/>
    <n v="4.8496805971384886E-2"/>
    <n v="5.780892856321608E-2"/>
    <n v="3.2926318887769812E-2"/>
    <n v="4.4489668271729392E-2"/>
    <n v="5.634367655918731E-2"/>
    <n v="3.437639408196403E-2"/>
    <n v="186.27799999999999"/>
    <n v="203.67699999999999"/>
    <n v="182.14359999999999"/>
    <n v="200.5692"/>
    <n v="199.67009999999999"/>
    <n v="202.12299999999999"/>
    <n v="200.971"/>
    <n v="199.74809999999999"/>
    <n v="201.91120000000001"/>
    <n v="0.85669872192865049"/>
    <n v="0.95471057800027181"/>
    <n v="0.8048475486084905"/>
    <n v="0.96943912766080853"/>
    <n v="0.97463185907749017"/>
    <n v="0.96121983511320264"/>
    <n v="0.9673075081113941"/>
    <n v="0.97349865341558717"/>
    <n v="0.96165454464920608"/>
  </r>
  <r>
    <x v="3"/>
    <x v="13"/>
    <x v="13"/>
    <x v="2"/>
    <n v="115.967"/>
    <n v="114.892"/>
    <n v="118.2582"/>
    <n v="111.64239999999999"/>
    <n v="109.7953"/>
    <n v="113.7962"/>
    <n v="112.76600000000001"/>
    <n v="109.87779999999999"/>
    <n v="113.9905"/>
    <n v="9.2698784999181039E-3"/>
    <n v="-1.975734476187194E-2"/>
    <n v="3.729164331232164E-2"/>
    <n v="5.3219450360878537E-2"/>
    <n v="1.8719118369881084E-2"/>
    <n v="2.760268007277927E-2"/>
    <n v="5.2508041080652303E-2"/>
    <n v="1.7043641725663347E-2"/>
    <n v="100.715"/>
    <n v="107.667"/>
    <n v="99.35378"/>
    <n v="104.5444"/>
    <n v="102.4991"/>
    <n v="107.1688"/>
    <n v="104.7457"/>
    <n v="102.29559999999999"/>
    <n v="107.2055"/>
    <n v="0.86847982615744135"/>
    <n v="0.93711485569056163"/>
    <n v="0.84014283998910855"/>
    <n v="0.93642200454307678"/>
    <n v="0.93354724655791277"/>
    <n v="0.94176079693346526"/>
    <n v="0.92887661174467473"/>
    <n v="0.93099424997588232"/>
    <n v="0.94047749593167851"/>
  </r>
  <r>
    <x v="3"/>
    <x v="13"/>
    <x v="13"/>
    <x v="3"/>
    <n v="71.051500000000004"/>
    <n v="63.400599999999983"/>
    <n v="68.228030000000004"/>
    <n v="60.687269999999998"/>
    <n v="58.809360000000012"/>
    <n v="64.521379999999994"/>
    <n v="61.034799999999997"/>
    <n v="59.487810000000003"/>
    <n v="63.660159999999998"/>
    <n v="0.10768104825373175"/>
    <n v="3.9738358796084533E-2"/>
    <n v="0.14586926384383167"/>
    <n v="0.17229952921472441"/>
    <n v="9.190685629437817E-2"/>
    <n v="0.14097802298332909"/>
    <n v="0.16275082158715862"/>
    <n v="0.10402792340766917"/>
    <n v="52.270099999999999"/>
    <n v="59.0092"/>
    <n v="52.871940000000009"/>
    <n v="57.133519999999997"/>
    <n v="55.733240000000002"/>
    <n v="59.243869999999987"/>
    <n v="56.954779999999992"/>
    <n v="56.01198999999999"/>
    <n v="58.975559999999987"/>
    <n v="0.73566497540516385"/>
    <n v="0.93073567127125001"/>
    <n v="0.77492989318319772"/>
    <n v="0.94144159063342281"/>
    <n v="0.94769336037664742"/>
    <n v="0.91820525227451721"/>
    <n v="0.93315256214487463"/>
    <n v="0.94157088653961185"/>
    <n v="0.92641237470970839"/>
  </r>
  <r>
    <x v="3"/>
    <x v="13"/>
    <x v="13"/>
    <x v="4"/>
    <n v="46.741699999999987"/>
    <n v="41.307899999999997"/>
    <n v="47.110700000000001"/>
    <n v="39.946930000000009"/>
    <n v="37.867469999999997"/>
    <n v="41.425040000000003"/>
    <n v="39.447839999999999"/>
    <n v="37.878500000000003"/>
    <n v="41.49438"/>
    <n v="0.11625165537410903"/>
    <n v="-7.8944497097883492E-3"/>
    <n v="0.1453684825327273"/>
    <n v="0.18985680880241823"/>
    <n v="0.11374554198927267"/>
    <n v="0.15604610016323733"/>
    <n v="0.18962083107803068"/>
    <n v="0.11226207005735754"/>
    <n v="35.53609999999999"/>
    <n v="39.868000000000002"/>
    <n v="35.783299999999997"/>
    <n v="38.354059999999997"/>
    <n v="36.898960000000002"/>
    <n v="39.138509999999997"/>
    <n v="38.028380000000013"/>
    <n v="36.917769999999997"/>
    <n v="39.262599999999999"/>
    <n v="0.76026545889430641"/>
    <n v="0.96514226092345545"/>
    <n v="0.75955780746199897"/>
    <n v="0.96012534630320745"/>
    <n v="0.97442369400437912"/>
    <n v="0.94480319149963388"/>
    <n v="0.96401678773793475"/>
    <n v="0.97463653523766769"/>
    <n v="0.9462148850037041"/>
  </r>
  <r>
    <x v="3"/>
    <x v="14"/>
    <x v="14"/>
    <x v="0"/>
    <n v="42123.400000000009"/>
    <n v="42123.400000000009"/>
    <n v="42123.400000000009"/>
    <n v="42123.400000000009"/>
    <n v="42123.400000000009"/>
    <n v="42123.400000000009"/>
    <n v="42123.400000000009"/>
    <n v="42123.400000000009"/>
    <n v="42123.400000000009"/>
    <n v="0"/>
    <n v="0"/>
    <n v="0"/>
    <n v="0"/>
    <n v="0"/>
    <n v="0"/>
    <n v="0"/>
    <n v="0"/>
    <n v="37089.300000000003"/>
    <n v="42123.099999999991"/>
    <n v="37089.300000000003"/>
    <n v="42123.099999999991"/>
    <n v="42123.099999999991"/>
    <n v="42123.099999999991"/>
    <n v="42123.099999999991"/>
    <n v="42123.099999999991"/>
    <n v="42123.099999999991"/>
    <n v="0.88049160324190345"/>
    <n v="0.99999287806777193"/>
    <n v="0.88049160324190345"/>
    <n v="0.99999287806777193"/>
    <n v="0.99999287806777193"/>
    <n v="0.99999287806777193"/>
    <n v="0.99999287806777193"/>
    <n v="0.99999287806777193"/>
    <n v="0.99999287806777193"/>
  </r>
  <r>
    <x v="3"/>
    <x v="14"/>
    <x v="14"/>
    <x v="1"/>
    <n v="21018.7"/>
    <n v="20778.599999999999"/>
    <n v="20784.84"/>
    <n v="20497.349999999999"/>
    <n v="20322.490000000002"/>
    <n v="20762.099999999999"/>
    <n v="20694.349999999999"/>
    <n v="20578.96"/>
    <n v="20778.599999999999"/>
    <n v="1.1423161280193455E-2"/>
    <n v="1.1126282786280816E-2"/>
    <n v="2.4804103013031355E-2"/>
    <n v="3.3123361578023335E-2"/>
    <n v="1.2208176528519946E-2"/>
    <n v="1.5431496714830231E-2"/>
    <n v="2.092137001812679E-2"/>
    <n v="1.1423161280193455E-2"/>
    <n v="18545.5"/>
    <n v="19939.900000000001"/>
    <n v="18545.400000000001"/>
    <n v="19919.2"/>
    <n v="19847.21"/>
    <n v="19948.04"/>
    <n v="19909.45"/>
    <n v="19864.11"/>
    <n v="19939.900000000001"/>
    <n v="0.88233335077811659"/>
    <n v="0.95963635663615465"/>
    <n v="0.89225608664776834"/>
    <n v="0.97179391482313582"/>
    <n v="0.97661310203621687"/>
    <n v="0.96079105678134691"/>
    <n v="0.96207177321346171"/>
    <n v="0.96526306480016488"/>
    <n v="0.95963635663615465"/>
  </r>
  <r>
    <x v="3"/>
    <x v="14"/>
    <x v="14"/>
    <x v="2"/>
    <n v="11084"/>
    <n v="10763.8"/>
    <n v="10845.6"/>
    <n v="10525.66"/>
    <n v="10422.14"/>
    <n v="10734.47"/>
    <n v="10687.41"/>
    <n v="10675.37"/>
    <n v="10763.8"/>
    <n v="2.8888487910501689E-2"/>
    <n v="2.150848069289062E-2"/>
    <n v="5.0373511367737295E-2"/>
    <n v="5.9713099963911997E-2"/>
    <n v="3.153464453265975E-2"/>
    <n v="3.5780404186214379E-2"/>
    <n v="3.6866654637314977E-2"/>
    <n v="2.8888487910501689E-2"/>
    <n v="9282.27"/>
    <n v="10017.1"/>
    <n v="9387.0779999999995"/>
    <n v="10023.237999999999"/>
    <n v="9966.3590000000004"/>
    <n v="10096.129999999999"/>
    <n v="9991.4889999999996"/>
    <n v="9983.1939999999995"/>
    <n v="10017.1"/>
    <n v="0.83744767232046191"/>
    <n v="0.93062858841673024"/>
    <n v="0.8655194733348085"/>
    <n v="0.95226693623012704"/>
    <n v="0.95626800254074507"/>
    <n v="0.94053362671841267"/>
    <n v="0.93488403645036544"/>
    <n v="0.93516140424172645"/>
    <n v="0.93062858841673024"/>
  </r>
  <r>
    <x v="3"/>
    <x v="14"/>
    <x v="14"/>
    <x v="3"/>
    <n v="5961.39"/>
    <n v="5471.86"/>
    <n v="5712.1459999999997"/>
    <n v="5483.6949999999997"/>
    <n v="5375.7150000000001"/>
    <n v="5579.1790000000001"/>
    <n v="5462.08"/>
    <n v="5467.2430000000004"/>
    <n v="5471.86"/>
    <n v="8.2116754649502993E-2"/>
    <n v="4.180971216444497E-2"/>
    <n v="8.0131479403293626E-2"/>
    <n v="9.8244704674580949E-2"/>
    <n v="6.4114409558844537E-2"/>
    <n v="8.3757311633696235E-2"/>
    <n v="8.2891238452776933E-2"/>
    <n v="8.2116754649502993E-2"/>
    <n v="4653.6200000000008"/>
    <n v="5043.1400000000003"/>
    <n v="4877.0670000000009"/>
    <n v="5165.9540000000006"/>
    <n v="5033.6089999999986"/>
    <n v="5208.496000000001"/>
    <n v="5032.0860000000002"/>
    <n v="5025.1729999999989"/>
    <n v="5043.1400000000003"/>
    <n v="0.78062666592858387"/>
    <n v="0.92165004221599245"/>
    <n v="0.85380643281876922"/>
    <n v="0.94205713483335618"/>
    <n v="0.93636083758160515"/>
    <n v="0.9335595792857696"/>
    <n v="0.92127651004745448"/>
    <n v="0.91914206118147634"/>
    <n v="0.92165004221599245"/>
  </r>
  <r>
    <x v="3"/>
    <x v="14"/>
    <x v="14"/>
    <x v="4"/>
    <n v="3087.2"/>
    <n v="2849.25"/>
    <n v="3082.8249999999998"/>
    <n v="2976"/>
    <n v="2797.9650000000001"/>
    <n v="2938.0729999999999"/>
    <n v="2818.9830000000002"/>
    <n v="2803.6219999999998"/>
    <n v="2849.25"/>
    <n v="7.707631510754076E-2"/>
    <n v="1.4171417465664682E-3"/>
    <n v="3.6019694221300795E-2"/>
    <n v="9.3688455558434733E-2"/>
    <n v="4.8304936512049743E-2"/>
    <n v="8.6880344648872648E-2"/>
    <n v="9.1856050790360189E-2"/>
    <n v="7.707631510754076E-2"/>
    <n v="2372.11"/>
    <n v="2582.81"/>
    <n v="2651.8389999999999"/>
    <n v="2820.0309999999999"/>
    <n v="2593.3989999999999"/>
    <n v="2742.558"/>
    <n v="2566.9250000000002"/>
    <n v="2554.9229999999998"/>
    <n v="2582.81"/>
    <n v="0.76836939621663647"/>
    <n v="0.90648767219443716"/>
    <n v="0.86019770827082309"/>
    <n v="0.94759106182795694"/>
    <n v="0.92688757722130177"/>
    <n v="0.93345468271210419"/>
    <n v="0.91058548419766983"/>
    <n v="0.91129367653699389"/>
    <n v="0.90648767219443716"/>
  </r>
  <r>
    <x v="3"/>
    <x v="15"/>
    <x v="15"/>
    <x v="0"/>
    <n v="48408.2"/>
    <n v="48408.2"/>
    <n v="48408.2"/>
    <n v="48408.2"/>
    <n v="48408.2"/>
    <n v="48408.2"/>
    <n v="48408.2"/>
    <n v="48408.2"/>
    <n v="48408.2"/>
    <n v="0"/>
    <n v="0"/>
    <n v="0"/>
    <n v="0"/>
    <n v="0"/>
    <n v="0"/>
    <n v="0"/>
    <n v="0"/>
    <n v="36969.099999999991"/>
    <n v="48407.599999999991"/>
    <n v="36969.099999999991"/>
    <n v="48407.599999999991"/>
    <n v="48407.599999999991"/>
    <n v="48407.599999999991"/>
    <n v="48407.599999999991"/>
    <n v="48407.599999999991"/>
    <n v="48407.599999999991"/>
    <n v="0.76369499382336037"/>
    <n v="0.99998760540569565"/>
    <n v="0.76369499382336037"/>
    <n v="0.99998760540569565"/>
    <n v="0.99998760540569565"/>
    <n v="0.99998760540569565"/>
    <n v="0.99998760540569565"/>
    <n v="0.99998760540569565"/>
    <n v="0.99998760540569565"/>
  </r>
  <r>
    <x v="3"/>
    <x v="15"/>
    <x v="15"/>
    <x v="1"/>
    <n v="24143.599999999999"/>
    <n v="23878.7"/>
    <n v="23875.46"/>
    <n v="23192.95"/>
    <n v="22771.51"/>
    <n v="23803.81"/>
    <n v="23703.62"/>
    <n v="23379.21"/>
    <n v="23816.9"/>
    <n v="1.0971851753673762E-2"/>
    <n v="1.1106048807965648E-2"/>
    <n v="3.9374823969913264E-2"/>
    <n v="5.6830381550390177E-2"/>
    <n v="1.4073708974634986E-2"/>
    <n v="1.8223462946702216E-2"/>
    <n v="3.1660150101890334E-2"/>
    <n v="1.3531536307758458E-2"/>
    <n v="18587.8"/>
    <n v="21652.6"/>
    <n v="18501.82"/>
    <n v="21564.74"/>
    <n v="21413.88"/>
    <n v="21601.99"/>
    <n v="21549.84"/>
    <n v="21445.91"/>
    <n v="21605.02"/>
    <n v="0.76988518696466146"/>
    <n v="0.90677465691180836"/>
    <n v="0.77493040971776039"/>
    <n v="0.92979720130470689"/>
    <n v="0.94038032611803091"/>
    <n v="0.90750136217689525"/>
    <n v="0.90913708539033278"/>
    <n v="0.91730687221681151"/>
    <n v="0.90712981118449498"/>
  </r>
  <r>
    <x v="3"/>
    <x v="15"/>
    <x v="15"/>
    <x v="2"/>
    <n v="13083.9"/>
    <n v="12971.5"/>
    <n v="12852.16"/>
    <n v="12297.78"/>
    <n v="12101.85"/>
    <n v="12714.55"/>
    <n v="12767.67"/>
    <n v="12508.2"/>
    <n v="12944.67"/>
    <n v="8.5907107208095176E-3"/>
    <n v="1.7711844327761583E-2"/>
    <n v="6.0083002774402053E-2"/>
    <n v="7.5057895581592593E-2"/>
    <n v="2.8229350575898652E-2"/>
    <n v="2.4169399032398564E-2"/>
    <n v="4.4000642010409659E-2"/>
    <n v="1.0641322541444032E-2"/>
    <n v="9309.4299999999985"/>
    <n v="10928.1"/>
    <n v="9462.2480000000014"/>
    <n v="10906.63"/>
    <n v="10796.47"/>
    <n v="10980.58"/>
    <n v="10872.71"/>
    <n v="10797.15"/>
    <n v="10927.88"/>
    <n v="0.71151797246998205"/>
    <n v="0.84247003045137414"/>
    <n v="0.73623795533202208"/>
    <n v="0.88687795683448545"/>
    <n v="0.89213384730433765"/>
    <n v="0.86362317187788795"/>
    <n v="0.85158137702493875"/>
    <n v="0.86320573703650394"/>
    <n v="0.8441991954989968"/>
  </r>
  <r>
    <x v="3"/>
    <x v="15"/>
    <x v="15"/>
    <x v="3"/>
    <n v="8902.35"/>
    <n v="6920.42"/>
    <n v="6927.0319999999992"/>
    <n v="6606.3109999999997"/>
    <n v="6296.8559999999998"/>
    <n v="6800.2709999999988"/>
    <n v="6590.8320000000003"/>
    <n v="6535.8130000000001"/>
    <n v="6920.42"/>
    <n v="0.22262997972445481"/>
    <n v="0.22188725448898336"/>
    <n v="0.25791380927507912"/>
    <n v="0.29267485551567851"/>
    <n v="0.23612630372879087"/>
    <n v="0.25965256364892414"/>
    <n v="0.26583284189006273"/>
    <n v="0.22262997972445481"/>
    <n v="4778.49"/>
    <n v="5588.0599999999986"/>
    <n v="4976.1400000000003"/>
    <n v="5772.2480000000014"/>
    <n v="5475.326"/>
    <n v="5785.8759999999993"/>
    <n v="5481.7089999999998"/>
    <n v="5440.3799999999992"/>
    <n v="5588.0599999999986"/>
    <n v="0.53676725808353964"/>
    <n v="0.80747411284286197"/>
    <n v="0.7183653836159557"/>
    <n v="0.87374754231219232"/>
    <n v="0.86953330360421144"/>
    <n v="0.85083020956076605"/>
    <n v="0.8317173006382198"/>
    <n v="0.83239529649945598"/>
    <n v="0.80747411284286197"/>
  </r>
  <r>
    <x v="3"/>
    <x v="15"/>
    <x v="15"/>
    <x v="4"/>
    <n v="4813.46"/>
    <n v="3582.39"/>
    <n v="3826.8679999999999"/>
    <n v="3677.712"/>
    <n v="3315.5680000000002"/>
    <n v="3752.9960000000001"/>
    <n v="3415.808"/>
    <n v="3366.4250000000002"/>
    <n v="3582.39"/>
    <n v="0.25575573495988335"/>
    <n v="0.20496524329692156"/>
    <n v="0.23595251648502324"/>
    <n v="0.31118820972855282"/>
    <n v="0.22031220785048591"/>
    <n v="0.29036327298866099"/>
    <n v="0.30062262904438802"/>
    <n v="0.25575573495988335"/>
    <n v="2469.67"/>
    <n v="2925.47"/>
    <n v="2730.3240000000001"/>
    <n v="3240.569"/>
    <n v="2825.5929999999998"/>
    <n v="3166.2130000000002"/>
    <n v="2839.0659999999998"/>
    <n v="2767.1970000000001"/>
    <n v="2925.47"/>
    <n v="0.51307583318444527"/>
    <n v="0.81662521389351794"/>
    <n v="0.71346176560048591"/>
    <n v="0.88113723967510238"/>
    <n v="0.85221989113177576"/>
    <n v="0.84364944700180877"/>
    <n v="0.8311550297909015"/>
    <n v="0.82199870782803719"/>
    <n v="0.81662521389351794"/>
  </r>
  <r>
    <x v="4"/>
    <x v="16"/>
    <x v="16"/>
    <x v="0"/>
    <n v="539.58199999999999"/>
    <n v="539.58199999999999"/>
    <n v="539.58200000000011"/>
    <n v="539.58200000000011"/>
    <n v="539.58200000000011"/>
    <n v="539.58200000000011"/>
    <n v="539.58200000000011"/>
    <n v="539.58200000000011"/>
    <n v="539.58200000000011"/>
    <n v="0"/>
    <n v="-2.1069427394096917E-16"/>
    <n v="-2.1069427394096917E-16"/>
    <n v="-2.1069427394096917E-16"/>
    <n v="-2.1069427394096917E-16"/>
    <n v="-2.1069427394096917E-16"/>
    <n v="-2.1069427394096917E-16"/>
    <n v="-2.1069427394096917E-16"/>
    <n v="538.43299999999999"/>
    <n v="539.57899999999995"/>
    <n v="538.43299999999999"/>
    <n v="539.57899999999995"/>
    <n v="539.57899999999995"/>
    <n v="539.57899999999995"/>
    <n v="539.57899999999995"/>
    <n v="539.57899999999995"/>
    <n v="539.57899999999995"/>
    <n v="0.99787057388867684"/>
    <n v="0.99999444014070138"/>
    <n v="0.99787057388867662"/>
    <n v="0.99999444014070127"/>
    <n v="0.99999444014070127"/>
    <n v="0.99999444014070127"/>
    <n v="0.99999444014070127"/>
    <n v="0.99999444014070127"/>
    <n v="0.99999444014070127"/>
  </r>
  <r>
    <x v="4"/>
    <x v="16"/>
    <x v="16"/>
    <x v="1"/>
    <n v="270.03399999999999"/>
    <n v="269.82600000000002"/>
    <n v="270.00299999999999"/>
    <n v="269.79969999999997"/>
    <n v="269.75560000000002"/>
    <n v="269.81680000000011"/>
    <n v="269.79910000000001"/>
    <n v="269.74860000000001"/>
    <n v="269.81670000000003"/>
    <n v="7.7027337298255037E-4"/>
    <n v="1.1480035847339932E-4"/>
    <n v="8.6766851581659651E-4"/>
    <n v="1.0309812838382442E-3"/>
    <n v="8.0434315678721007E-4"/>
    <n v="8.6989045823852515E-4"/>
    <n v="1.0569039454290255E-3"/>
    <n v="8.0471348052454906E-4"/>
    <n v="269.39299999999997"/>
    <n v="269.79199999999997"/>
    <n v="269.39299999999997"/>
    <n v="269.76850000000002"/>
    <n v="269.72829999999999"/>
    <n v="269.78390000000002"/>
    <n v="269.76760000000002"/>
    <n v="269.72179999999997"/>
    <n v="269.78390000000002"/>
    <n v="0.99762622484576013"/>
    <n v="0.99987399286947864"/>
    <n v="0.99774076584334248"/>
    <n v="0.99988435865569913"/>
    <n v="0.99989879728168751"/>
    <n v="0.99987806541327262"/>
    <n v="0.99988324646005122"/>
    <n v="0.99990064823320668"/>
    <n v="0.99987843599006287"/>
  </r>
  <r>
    <x v="4"/>
    <x v="16"/>
    <x v="16"/>
    <x v="2"/>
    <n v="135.399"/>
    <n v="135.21700000000001"/>
    <n v="135.33150000000001"/>
    <n v="135.22219999999999"/>
    <n v="135.17179999999999"/>
    <n v="135.2653"/>
    <n v="135.20920000000001"/>
    <n v="135.167"/>
    <n v="135.21700000000001"/>
    <n v="1.3441753631857542E-3"/>
    <n v="4.9852657700570505E-4"/>
    <n v="1.3057703528092104E-3"/>
    <n v="1.6780035303068006E-3"/>
    <n v="9.874519014173265E-4"/>
    <n v="1.4017828787508851E-3"/>
    <n v="1.713454309116015E-3"/>
    <n v="1.3441753631857542E-3"/>
    <n v="134.94200000000001"/>
    <n v="135.173"/>
    <n v="134.88820000000001"/>
    <n v="135.17910000000001"/>
    <n v="135.13120000000001"/>
    <n v="135.22300000000001"/>
    <n v="135.16589999999999"/>
    <n v="135.1267"/>
    <n v="135.173"/>
    <n v="0.99662479043419827"/>
    <n v="0.99967459712905915"/>
    <n v="0.99672433986174691"/>
    <n v="0.99968126535435764"/>
    <n v="0.99969964149327017"/>
    <n v="0.99968728121698625"/>
    <n v="0.99967975551959465"/>
    <n v="0.9997018503036984"/>
    <n v="0.99967459712905915"/>
  </r>
  <r>
    <x v="4"/>
    <x v="16"/>
    <x v="16"/>
    <x v="3"/>
    <n v="68.059399999999997"/>
    <n v="67.975499999999997"/>
    <n v="68.001620000000003"/>
    <n v="67.943100000000001"/>
    <n v="67.883700000000005"/>
    <n v="68.154020000000003"/>
    <n v="67.929940000000016"/>
    <n v="67.873950000000008"/>
    <n v="67.972909999999999"/>
    <n v="1.2327466889217342E-3"/>
    <n v="8.4896428707855126E-4"/>
    <n v="1.7088014293395978E-3"/>
    <n v="2.5815684534390838E-3"/>
    <n v="-1.3902561585909684E-3"/>
    <n v="1.9021619350153009E-3"/>
    <n v="2.7248256669907289E-3"/>
    <n v="1.2708016820600495E-3"/>
    <n v="67.691999999999993"/>
    <n v="67.926900000000018"/>
    <n v="67.655209999999997"/>
    <n v="67.894599999999997"/>
    <n v="67.837120000000013"/>
    <n v="68.105260000000015"/>
    <n v="67.881350000000012"/>
    <n v="67.827330000000003"/>
    <n v="67.924130000000005"/>
    <n v="0.99460177433242136"/>
    <n v="0.99928503652051137"/>
    <n v="0.99490585665459141"/>
    <n v="0.99928616739595333"/>
    <n v="0.99931382644139921"/>
    <n v="0.99928456164434631"/>
    <n v="0.99928470421142723"/>
    <n v="0.99931313854578963"/>
    <n v="0.99928236116417568"/>
  </r>
  <r>
    <x v="4"/>
    <x v="16"/>
    <x v="16"/>
    <x v="4"/>
    <n v="34.345199999999998"/>
    <n v="34.2821"/>
    <n v="34.36251"/>
    <n v="34.319650000000003"/>
    <n v="34.271160000000002"/>
    <n v="34.951659999999997"/>
    <n v="34.281529999999997"/>
    <n v="34.22681"/>
    <n v="34.2821"/>
    <n v="1.8372290742228493E-3"/>
    <n v="-5.0400055903013913E-4"/>
    <n v="7.4391763623433613E-4"/>
    <n v="2.1557597568218137E-3"/>
    <n v="-1.7657780417642013E-2"/>
    <n v="1.8538252798062582E-3"/>
    <n v="3.4470610158041882E-3"/>
    <n v="1.8372290742228493E-3"/>
    <n v="34.027000000000001"/>
    <n v="34.23129999999999"/>
    <n v="34.06935"/>
    <n v="34.26849"/>
    <n v="34.221730000000001"/>
    <n v="34.900329999999997"/>
    <n v="34.23077"/>
    <n v="34.177010000000003"/>
    <n v="34.23129999999999"/>
    <n v="0.99073524102349098"/>
    <n v="0.99851817712450497"/>
    <n v="0.99146860924885871"/>
    <n v="0.99850930880705357"/>
    <n v="0.99855767940157258"/>
    <n v="0.99853140022533982"/>
    <n v="0.99851931929525906"/>
    <n v="0.99854500024980419"/>
    <n v="0.99851817712450497"/>
  </r>
  <r>
    <x v="4"/>
    <x v="17"/>
    <x v="17"/>
    <x v="0"/>
    <n v="72.003200000000007"/>
    <n v="72.003200000000007"/>
    <n v="72.003200000000007"/>
    <n v="72.003200000000007"/>
    <n v="72.003200000000007"/>
    <n v="72.003200000000007"/>
    <n v="72.003200000000007"/>
    <n v="72.003200000000007"/>
    <n v="72.003200000000007"/>
    <n v="0"/>
    <n v="0"/>
    <n v="0"/>
    <n v="0"/>
    <n v="0"/>
    <n v="0"/>
    <n v="0"/>
    <n v="0"/>
    <n v="71.893000000000001"/>
    <n v="72.002899999999983"/>
    <n v="71.893000000000001"/>
    <n v="72.002899999999983"/>
    <n v="72.002899999999983"/>
    <n v="72.002899999999983"/>
    <n v="72.002899999999983"/>
    <n v="72.002899999999983"/>
    <n v="72.002899999999983"/>
    <n v="0.99846951246611249"/>
    <n v="0.99999583351850996"/>
    <n v="0.99846951246611249"/>
    <n v="0.99999583351850996"/>
    <n v="0.99999583351850996"/>
    <n v="0.99999583351850996"/>
    <n v="0.99999583351850996"/>
    <n v="0.99999583351850996"/>
    <n v="0.99999583351850996"/>
  </r>
  <r>
    <x v="4"/>
    <x v="17"/>
    <x v="17"/>
    <x v="1"/>
    <n v="36.054499999999997"/>
    <n v="36.031599999999997"/>
    <n v="36.052489999999999"/>
    <n v="36.027839999999998"/>
    <n v="36.022700000000007"/>
    <n v="36.030250000000002"/>
    <n v="36.027700000000003"/>
    <n v="36.02187"/>
    <n v="36.02991999999999"/>
    <n v="6.3514956524150725E-4"/>
    <n v="5.5748935639060677E-5"/>
    <n v="7.3943613141215893E-4"/>
    <n v="8.8199808623028576E-4"/>
    <n v="6.7259288022285702E-4"/>
    <n v="7.4331914185453646E-4"/>
    <n v="9.0501879099689347E-4"/>
    <n v="6.8174569055200814E-4"/>
    <n v="35.991"/>
    <n v="36.028500000000001"/>
    <n v="35.991"/>
    <n v="36.025069999999999"/>
    <n v="36.02037"/>
    <n v="36.027230000000003"/>
    <n v="36.024889999999999"/>
    <n v="36.019550000000002"/>
    <n v="36.026960000000003"/>
    <n v="0.99823877740642641"/>
    <n v="0.99991396440901881"/>
    <n v="0.99829443125842354"/>
    <n v="0.99992311501327868"/>
    <n v="0.99993531856301698"/>
    <n v="0.99991618154189887"/>
    <n v="0.99992200445768109"/>
    <n v="0.99993559468178639"/>
    <n v="0.99991784605683309"/>
  </r>
  <r>
    <x v="4"/>
    <x v="17"/>
    <x v="17"/>
    <x v="2"/>
    <n v="18.0853"/>
    <n v="18.073799999999999"/>
    <n v="18.093029999999999"/>
    <n v="18.092300000000002"/>
    <n v="18.069089999999999"/>
    <n v="18.097619999999999"/>
    <n v="18.07311"/>
    <n v="18.067029999999999"/>
    <n v="18.073799999999999"/>
    <n v="6.3587554533248657E-4"/>
    <n v="-4.2741895351466013E-4"/>
    <n v="-3.8705467976762615E-4"/>
    <n v="8.9630805129032676E-4"/>
    <n v="-6.8121623639082565E-4"/>
    <n v="6.7402807805236114E-4"/>
    <n v="1.0102127141933569E-3"/>
    <n v="6.3587554533248657E-4"/>
    <n v="18.042999999999999"/>
    <n v="18.069700000000001"/>
    <n v="18.055499999999999"/>
    <n v="18.088190000000001"/>
    <n v="18.06531"/>
    <n v="18.09355"/>
    <n v="18.06898"/>
    <n v="18.063279999999999"/>
    <n v="18.069700000000001"/>
    <n v="0.99766108386369035"/>
    <n v="0.99977315229780139"/>
    <n v="0.99792572056753348"/>
    <n v="0.99977283153606777"/>
    <n v="0.99979080296794143"/>
    <n v="0.99977510855018514"/>
    <n v="0.9997714837125431"/>
    <n v="0.99979243959853947"/>
    <n v="0.99977315229780139"/>
  </r>
  <r>
    <x v="4"/>
    <x v="17"/>
    <x v="17"/>
    <x v="3"/>
    <n v="9.1649899999999995"/>
    <n v="9.1552699999999998"/>
    <n v="9.1396680000000003"/>
    <n v="9.1307409999999987"/>
    <n v="9.093436999999998"/>
    <n v="9.2722989999999985"/>
    <n v="9.1286759999999987"/>
    <n v="9.0906339999999997"/>
    <n v="9.1504909999999988"/>
    <n v="1.0605576219941024E-3"/>
    <n v="2.7629053605076688E-3"/>
    <n v="3.7369380653989653E-3"/>
    <n v="7.807209827834131E-3"/>
    <n v="-1.1708577968988399E-2"/>
    <n v="3.9622520046394862E-3"/>
    <n v="8.1130475865221745E-3"/>
    <n v="1.5819984528079906E-3"/>
    <n v="9.1280400000000004"/>
    <n v="9.15062"/>
    <n v="9.1119080000000015"/>
    <n v="9.1261259999999993"/>
    <n v="9.0890190000000004"/>
    <n v="9.2675979999999996"/>
    <n v="9.1240439999999996"/>
    <n v="9.0861899999999984"/>
    <n v="9.1458220000000008"/>
    <n v="0.99596835348429191"/>
    <n v="0.99949209580929887"/>
    <n v="0.99696269054849707"/>
    <n v="0.99949456457038921"/>
    <n v="0.99951415509889197"/>
    <n v="0.99949300599560054"/>
    <n v="0.99949258797223173"/>
    <n v="0.99951114520725381"/>
    <n v="0.99948975415636188"/>
  </r>
  <r>
    <x v="4"/>
    <x v="17"/>
    <x v="17"/>
    <x v="4"/>
    <n v="4.6588500000000002"/>
    <n v="4.6552199999999999"/>
    <n v="4.7797780000000003"/>
    <n v="4.723059000000001"/>
    <n v="4.623367"/>
    <n v="4.8836659999999998"/>
    <n v="4.6548410000000002"/>
    <n v="4.6046369999999994"/>
    <n v="4.6552199999999999"/>
    <n v="7.7916223960853941E-4"/>
    <n v="-2.5956620195971138E-2"/>
    <n v="-1.3782156540777413E-2"/>
    <n v="7.616257230861726E-3"/>
    <n v="-4.8255685415928756E-2"/>
    <n v="8.605127874904599E-4"/>
    <n v="1.1636562671045587E-2"/>
    <n v="7.7916223960853941E-4"/>
    <n v="4.62704"/>
    <n v="4.6501400000000004"/>
    <n v="4.7527290000000004"/>
    <n v="4.718318"/>
    <n v="4.6186939999999996"/>
    <n v="4.8787540000000007"/>
    <n v="4.6497640000000002"/>
    <n v="4.5999120000000007"/>
    <n v="4.6501400000000004"/>
    <n v="0.99317213475428479"/>
    <n v="0.99890875189572148"/>
    <n v="0.994340950562976"/>
    <n v="0.99899620140252299"/>
    <n v="0.99898926475012684"/>
    <n v="0.99899419821093438"/>
    <n v="0.99890930753596097"/>
    <n v="0.99897386048020753"/>
    <n v="0.99890875189572148"/>
  </r>
  <r>
    <x v="4"/>
    <x v="18"/>
    <x v="18"/>
    <x v="0"/>
    <n v="288.65899999999999"/>
    <n v="288.65899999999999"/>
    <n v="288.65899999999999"/>
    <n v="288.65899999999999"/>
    <n v="288.65899999999999"/>
    <n v="288.65899999999999"/>
    <n v="288.65899999999999"/>
    <n v="288.65899999999999"/>
    <n v="288.65899999999999"/>
    <n v="0"/>
    <n v="0"/>
    <n v="0"/>
    <n v="0"/>
    <n v="0"/>
    <n v="0"/>
    <n v="0"/>
    <n v="0"/>
    <n v="288.10300000000001"/>
    <n v="288.65699999999998"/>
    <n v="288.10300000000001"/>
    <n v="288.65699999999998"/>
    <n v="288.65699999999998"/>
    <n v="288.65699999999998"/>
    <n v="288.65699999999998"/>
    <n v="288.65699999999998"/>
    <n v="288.65699999999998"/>
    <n v="0.99807385184594977"/>
    <n v="0.99999307140951776"/>
    <n v="0.99807385184594977"/>
    <n v="0.99999307140951776"/>
    <n v="0.99999307140951776"/>
    <n v="0.99999307140951776"/>
    <n v="0.99999307140951776"/>
    <n v="0.99999307140951776"/>
    <n v="0.99999307140951776"/>
  </r>
  <r>
    <x v="4"/>
    <x v="18"/>
    <x v="18"/>
    <x v="1"/>
    <n v="144.50700000000001"/>
    <n v="144.386"/>
    <n v="144.45060000000001"/>
    <n v="144.3415"/>
    <n v="144.31530000000001"/>
    <n v="144.35400000000001"/>
    <n v="144.34450000000001"/>
    <n v="144.31280000000001"/>
    <n v="144.3544"/>
    <n v="8.373296795311599E-4"/>
    <n v="3.9029251178141161E-4"/>
    <n v="1.1452732393587067E-3"/>
    <n v="1.3265793352570969E-3"/>
    <n v="1.0587722394070293E-3"/>
    <n v="1.1245129993702333E-3"/>
    <n v="1.3438795352473931E-3"/>
    <n v="1.0560042074086841E-3"/>
    <n v="144.197"/>
    <n v="144.37"/>
    <n v="144.15199999999999"/>
    <n v="144.32679999999999"/>
    <n v="144.3032"/>
    <n v="144.33840000000001"/>
    <n v="144.3296"/>
    <n v="144.30070000000001"/>
    <n v="144.33869999999999"/>
    <n v="0.99785477520120136"/>
    <n v="0.99988918593215415"/>
    <n v="0.99793285732284931"/>
    <n v="0.99989815818735428"/>
    <n v="0.99991615580607185"/>
    <n v="0.99989193233301465"/>
    <n v="0.99989677472989957"/>
    <n v="0.9999161543535986"/>
    <n v="0.99989123989293016"/>
  </r>
  <r>
    <x v="4"/>
    <x v="18"/>
    <x v="18"/>
    <x v="2"/>
    <n v="72.37660000000001"/>
    <n v="72.402799999999985"/>
    <n v="72.406970000000001"/>
    <n v="72.354050000000001"/>
    <n v="72.315010000000015"/>
    <n v="72.341880000000018"/>
    <n v="72.342920000000007"/>
    <n v="72.311709999999991"/>
    <n v="72.342919999999992"/>
    <n v="-3.6199545156824806E-4"/>
    <n v="-4.1961075817309294E-4"/>
    <n v="3.1156478751432942E-4"/>
    <n v="8.509656435919256E-4"/>
    <n v="4.7971305642974352E-4"/>
    <n v="4.6534377132946179E-4"/>
    <n v="8.9656049054555819E-4"/>
    <n v="4.6534377132965814E-4"/>
    <n v="72.242999999999981"/>
    <n v="72.381799999999998"/>
    <n v="72.19"/>
    <n v="72.333119999999994"/>
    <n v="72.295940000000002"/>
    <n v="72.320920000000001"/>
    <n v="72.322020000000009"/>
    <n v="72.292869999999994"/>
    <n v="72.32199"/>
    <n v="0.99815409952940548"/>
    <n v="0.99970995596855394"/>
    <n v="0.99700346527413031"/>
    <n v="0.99971072801038774"/>
    <n v="0.99973629264519204"/>
    <n v="0.9997102646489141"/>
    <n v="0.99971109819730808"/>
    <n v="0.99973946128503943"/>
    <n v="0.99971068350572534"/>
  </r>
  <r>
    <x v="4"/>
    <x v="18"/>
    <x v="18"/>
    <x v="3"/>
    <n v="36.391900000000007"/>
    <n v="36.363300000000002"/>
    <n v="36.388869999999997"/>
    <n v="36.35978999999999"/>
    <n v="36.317399999999999"/>
    <n v="37.020510000000002"/>
    <n v="36.359430000000003"/>
    <n v="36.308720000000008"/>
    <n v="36.363300000000002"/>
    <n v="7.8588916764456914E-4"/>
    <n v="8.3260285943015765E-5"/>
    <n v="8.823392018558299E-4"/>
    <n v="2.0471588457873194E-3"/>
    <n v="-1.7273349289264772E-2"/>
    <n v="8.9223151305657428E-4"/>
    <n v="2.2856734603029435E-3"/>
    <n v="7.8588916764456914E-4"/>
    <n v="36.222999999999999"/>
    <n v="36.33979999999999"/>
    <n v="36.227609999999999"/>
    <n v="36.336320000000001"/>
    <n v="36.295280000000012"/>
    <n v="36.99729"/>
    <n v="36.335920000000002"/>
    <n v="36.286619999999999"/>
    <n v="36.33979999999999"/>
    <n v="0.99535885732814144"/>
    <n v="0.99935374402213184"/>
    <n v="0.99556842518055666"/>
    <n v="0.9993545067229489"/>
    <n v="0.99939092556185227"/>
    <n v="0.99937278011567099"/>
    <n v="0.99935340020456864"/>
    <n v="0.99939133078775544"/>
    <n v="0.99935374402213184"/>
  </r>
  <r>
    <x v="4"/>
    <x v="18"/>
    <x v="18"/>
    <x v="4"/>
    <n v="18.375399999999999"/>
    <n v="18.351299999999998"/>
    <n v="18.430669999999999"/>
    <n v="18.38203"/>
    <n v="18.361000000000001"/>
    <n v="19.10399"/>
    <n v="18.351130000000001"/>
    <n v="18.309920000000002"/>
    <n v="18.351299999999998"/>
    <n v="1.3115360754051982E-3"/>
    <n v="-3.0078256799852062E-3"/>
    <n v="-3.6080847219659146E-4"/>
    <n v="7.8365641020050798E-4"/>
    <n v="-3.9650293326948013E-2"/>
    <n v="1.3207875746921315E-3"/>
    <n v="3.5634598430508897E-3"/>
    <n v="1.3115360754051982E-3"/>
    <n v="18.227"/>
    <n v="18.3264"/>
    <n v="18.284320000000001"/>
    <n v="18.35737"/>
    <n v="18.337230000000002"/>
    <n v="19.079190000000001"/>
    <n v="18.32629"/>
    <n v="18.286000000000001"/>
    <n v="18.3264"/>
    <n v="0.99192398532821058"/>
    <n v="0.99864314789687936"/>
    <n v="0.99205943137172992"/>
    <n v="0.99865847243204364"/>
    <n v="0.99870540820216769"/>
    <n v="0.99870184186654209"/>
    <n v="0.99864640488078926"/>
    <n v="0.9986936043412532"/>
    <n v="0.99864314789687936"/>
  </r>
  <r>
    <x v="4"/>
    <x v="19"/>
    <x v="19"/>
    <x v="0"/>
    <n v="362.43099999999998"/>
    <n v="362.43099999999998"/>
    <n v="362.43099999999998"/>
    <n v="362.43099999999998"/>
    <n v="362.43099999999998"/>
    <n v="362.43099999999998"/>
    <n v="362.43099999999998"/>
    <n v="362.43099999999998"/>
    <n v="362.43099999999998"/>
    <n v="0"/>
    <n v="0"/>
    <n v="0"/>
    <n v="0"/>
    <n v="0"/>
    <n v="0"/>
    <n v="0"/>
    <n v="0"/>
    <n v="361.64"/>
    <n v="362.42899999999997"/>
    <n v="361.64"/>
    <n v="362.42899999999997"/>
    <n v="362.42899999999997"/>
    <n v="362.42899999999997"/>
    <n v="362.42899999999997"/>
    <n v="362.42899999999997"/>
    <n v="362.42899999999997"/>
    <n v="0.99781751560986787"/>
    <n v="0.99999448170824234"/>
    <n v="0.99781751560986787"/>
    <n v="0.99999448170824234"/>
    <n v="0.99999448170824234"/>
    <n v="0.99999448170824234"/>
    <n v="0.99999448170824234"/>
    <n v="0.99999448170824234"/>
    <n v="0.99999448170824234"/>
  </r>
  <r>
    <x v="4"/>
    <x v="19"/>
    <x v="19"/>
    <x v="1"/>
    <n v="181.392"/>
    <n v="181.24799999999999"/>
    <n v="181.3818"/>
    <n v="181.2287"/>
    <n v="181.20140000000001"/>
    <n v="181.2405"/>
    <n v="181.2328"/>
    <n v="181.1978"/>
    <n v="181.23990000000001"/>
    <n v="7.9386080973805609E-4"/>
    <n v="5.6231807356429965E-5"/>
    <n v="9.0026020993203915E-4"/>
    <n v="1.0507629884448555E-3"/>
    <n v="8.3520772691187393E-4"/>
    <n v="8.7765722854369797E-4"/>
    <n v="1.0706095086883381E-3"/>
    <n v="8.3851548028573552E-4"/>
    <n v="180.95400000000001"/>
    <n v="181.22499999999999"/>
    <n v="180.953"/>
    <n v="181.20760000000001"/>
    <n v="181.1825"/>
    <n v="181.21770000000001"/>
    <n v="181.21109999999999"/>
    <n v="181.17920000000001"/>
    <n v="181.21780000000001"/>
    <n v="0.99758534003704691"/>
    <n v="0.9998731020480226"/>
    <n v="0.99763592598595896"/>
    <n v="0.99988357252466087"/>
    <n v="0.99989569617011786"/>
    <n v="0.99987420030291252"/>
    <n v="0.99988026449958278"/>
    <n v="0.99989734974707201"/>
    <n v="0.99987806217063679"/>
  </r>
  <r>
    <x v="4"/>
    <x v="19"/>
    <x v="19"/>
    <x v="2"/>
    <n v="90.942800000000005"/>
    <n v="90.834199999999996"/>
    <n v="90.927610000000001"/>
    <n v="90.852549999999994"/>
    <n v="90.813569999999999"/>
    <n v="90.961590000000001"/>
    <n v="90.834119999999999"/>
    <n v="90.811810000000008"/>
    <n v="90.834199999999996"/>
    <n v="1.1941572065079346E-3"/>
    <n v="1.6702806599317409E-4"/>
    <n v="9.9238202474535311E-4"/>
    <n v="1.4210030920535418E-3"/>
    <n v="-2.0661338775577223E-4"/>
    <n v="1.1950368803248499E-3"/>
    <n v="1.4403559160263049E-3"/>
    <n v="1.1941572065079346E-3"/>
    <n v="90.625"/>
    <n v="90.80449999999999"/>
    <n v="90.629199999999997"/>
    <n v="90.822649999999996"/>
    <n v="90.785820000000001"/>
    <n v="90.932089999999988"/>
    <n v="90.804459999999992"/>
    <n v="90.784110000000013"/>
    <n v="90.80449999999999"/>
    <n v="0.99650549576217129"/>
    <n v="0.99967303064264335"/>
    <n v="0.99671815854392298"/>
    <n v="0.99967089531334019"/>
    <n v="0.99969442892730687"/>
    <n v="0.99967568728734824"/>
    <n v="0.99967347071783152"/>
    <n v="0.9996949735942936"/>
    <n v="0.99967303064264335"/>
  </r>
  <r>
    <x v="4"/>
    <x v="19"/>
    <x v="19"/>
    <x v="3"/>
    <n v="45.7256"/>
    <n v="45.674999999999997"/>
    <n v="45.72542"/>
    <n v="45.674639999999997"/>
    <n v="45.62256"/>
    <n v="46.312860000000001"/>
    <n v="45.669820000000001"/>
    <n v="45.616259999999997"/>
    <n v="45.674999999999997"/>
    <n v="1.1066011162237973E-3"/>
    <n v="3.9365257098931678E-6"/>
    <n v="1.1144741676435835E-3"/>
    <n v="2.2534422730374239E-3"/>
    <n v="-1.2843133824378478E-2"/>
    <n v="1.2198855783193355E-3"/>
    <n v="2.3912206728835292E-3"/>
    <n v="1.1066011162237973E-3"/>
    <n v="45.47699999999999"/>
    <n v="45.641300000000001"/>
    <n v="45.482399999999998"/>
    <n v="45.641080000000002"/>
    <n v="45.590510000000002"/>
    <n v="46.279780000000002"/>
    <n v="45.636119999999998"/>
    <n v="45.58419"/>
    <n v="45.641300000000001"/>
    <n v="0.99456322060290059"/>
    <n v="0.99926217843459231"/>
    <n v="0.99468523197818626"/>
    <n v="0.99926523777746268"/>
    <n v="0.99929749667708256"/>
    <n v="0.99928572754954026"/>
    <n v="0.99926209474878591"/>
    <n v="0.99929696121514566"/>
    <n v="0.99926217843459231"/>
  </r>
  <r>
    <x v="4"/>
    <x v="19"/>
    <x v="19"/>
    <x v="4"/>
    <n v="23.0807"/>
    <n v="23.042999999999999"/>
    <n v="23.131900000000002"/>
    <n v="23.09928"/>
    <n v="23.061620000000001"/>
    <n v="23.800509999999999"/>
    <n v="23.04297"/>
    <n v="23.01878"/>
    <n v="23.042999999999999"/>
    <n v="1.6333993336424353E-3"/>
    <n v="-2.2183036043101579E-3"/>
    <n v="-8.0500158140784468E-4"/>
    <n v="8.2666470254363499E-4"/>
    <n v="-3.1186662449579041E-2"/>
    <n v="1.6346991209105364E-3"/>
    <n v="2.6827609214625484E-3"/>
    <n v="1.6333993336424353E-3"/>
    <n v="22.864000000000001"/>
    <n v="23.007999999999999"/>
    <n v="22.933229999999998"/>
    <n v="23.063839999999999"/>
    <n v="23.02741"/>
    <n v="23.765519999999999"/>
    <n v="23.00797"/>
    <n v="22.98443"/>
    <n v="23.007999999999999"/>
    <n v="0.99061120329972663"/>
    <n v="0.99848110055114347"/>
    <n v="0.99141142750919709"/>
    <n v="0.99846575304511653"/>
    <n v="0.99851658296338242"/>
    <n v="0.99852986343569949"/>
    <n v="0.99848109857366474"/>
    <n v="0.99850774020169619"/>
    <n v="0.99848110055114347"/>
  </r>
  <r>
    <x v="5"/>
    <x v="20"/>
    <x v="20"/>
    <x v="0"/>
    <n v="23289.1"/>
    <n v="23289.1"/>
    <n v="23289.1"/>
    <n v="23289.1"/>
    <n v="23289.1"/>
    <n v="23289.1"/>
    <n v="23289.1"/>
    <n v="23289.1"/>
    <n v="23289.1"/>
    <n v="0"/>
    <n v="0"/>
    <n v="0"/>
    <n v="0"/>
    <n v="0"/>
    <n v="0"/>
    <n v="0"/>
    <n v="0"/>
    <n v="11814.5"/>
    <n v="23288.9"/>
    <n v="11814.5"/>
    <n v="23288.9"/>
    <n v="23288.9"/>
    <n v="23288.9"/>
    <n v="23288.9"/>
    <n v="23288.9"/>
    <n v="23288.9"/>
    <n v="0.5072974052239031"/>
    <n v="0.99999141229158717"/>
    <n v="0.5072974052239031"/>
    <n v="0.99999141229158717"/>
    <n v="0.99999141229158717"/>
    <n v="0.99999141229158717"/>
    <n v="0.99999141229158717"/>
    <n v="0.99999141229158717"/>
    <n v="0.99999141229158717"/>
  </r>
  <r>
    <x v="5"/>
    <x v="20"/>
    <x v="20"/>
    <x v="1"/>
    <n v="10828.8"/>
    <n v="8673.9500000000007"/>
    <n v="11812.23"/>
    <n v="8370.862000000001"/>
    <n v="8021.4520000000002"/>
    <n v="8607.2109999999993"/>
    <n v="8342.3809999999994"/>
    <n v="8015.9499999999989"/>
    <n v="8588.6859999999997"/>
    <n v="0.19899250147754124"/>
    <n v="-9.0816156914893656E-2"/>
    <n v="0.22698156767139466"/>
    <n v="0.25924830082742312"/>
    <n v="0.20515560357565013"/>
    <n v="0.22961168365839243"/>
    <n v="0.25975639036643033"/>
    <n v="0.20686631944444442"/>
    <n v="6357.76"/>
    <n v="8673.6499999999978"/>
    <n v="6309.2910000000002"/>
    <n v="8370.617000000002"/>
    <n v="8021.27"/>
    <n v="8606.9639999999999"/>
    <n v="8342.1479999999992"/>
    <n v="8015.7669999999998"/>
    <n v="8588.4280000000017"/>
    <n v="0.58711583924349886"/>
    <n v="0.99996541368119451"/>
    <n v="0.53413208174917015"/>
    <n v="0.9999707318075487"/>
    <n v="0.99997731084097996"/>
    <n v="0.99997130313175786"/>
    <n v="0.99997207032380797"/>
    <n v="0.99997717051628332"/>
    <n v="0.9999699604805673"/>
  </r>
  <r>
    <x v="5"/>
    <x v="20"/>
    <x v="20"/>
    <x v="2"/>
    <n v="6874.57"/>
    <n v="5390.18"/>
    <n v="7016.4979999999996"/>
    <n v="5330.1790000000001"/>
    <n v="5249.9539999999997"/>
    <n v="5586.8870000000006"/>
    <n v="5317.7"/>
    <n v="5272.0259999999998"/>
    <n v="5390.18"/>
    <n v="0.21592477784065031"/>
    <n v="-2.0645364000948407E-2"/>
    <n v="0.22465274191694895"/>
    <n v="0.23632256272028651"/>
    <n v="0.18731106090999133"/>
    <n v="0.2264679827247377"/>
    <n v="0.2331118891799778"/>
    <n v="0.21592477784065031"/>
    <n v="4467.33"/>
    <n v="5390.04"/>
    <n v="4459.8339999999998"/>
    <n v="5329.982"/>
    <n v="5249.7749999999996"/>
    <n v="5586.6960000000008"/>
    <n v="5317.5290000000005"/>
    <n v="5271.8540000000003"/>
    <n v="5390.04"/>
    <n v="0.64983409871453779"/>
    <n v="0.99997402684140413"/>
    <n v="0.6356210747868809"/>
    <n v="0.99996304064084895"/>
    <n v="0.99996590446316291"/>
    <n v="0.99996581280416097"/>
    <n v="0.99996784324049881"/>
    <n v="0.99996737497121613"/>
    <n v="0.99997402684140413"/>
  </r>
  <r>
    <x v="5"/>
    <x v="20"/>
    <x v="20"/>
    <x v="3"/>
    <n v="5175.8900000000003"/>
    <n v="4062.64"/>
    <n v="5101.1610000000001"/>
    <n v="4049.114"/>
    <n v="3980.3610000000008"/>
    <n v="4194.6349999999993"/>
    <n v="4034.9459999999999"/>
    <n v="3970.404"/>
    <n v="4062.64"/>
    <n v="0.21508378269244524"/>
    <n v="1.4437903433032825E-2"/>
    <n v="0.21769705306720202"/>
    <n v="0.23098037245768349"/>
    <n v="0.18958188833224837"/>
    <n v="0.22043436008106826"/>
    <n v="0.23290409958480576"/>
    <n v="0.21508378269244524"/>
    <n v="3612.15"/>
    <n v="4062.48"/>
    <n v="3583.07"/>
    <n v="4048.9760000000001"/>
    <n v="3980.221"/>
    <n v="4194.4970000000003"/>
    <n v="4034.81"/>
    <n v="3970.253999999999"/>
    <n v="4062.48"/>
    <n v="0.6978799781293652"/>
    <n v="0.99996061674182313"/>
    <n v="0.70240284515623019"/>
    <n v="0.99996591847006533"/>
    <n v="0.99996482731088943"/>
    <n v="0.99996710083237306"/>
    <n v="0.99996629446837704"/>
    <n v="0.99996222046925176"/>
    <n v="0.99996061674182313"/>
  </r>
  <r>
    <x v="5"/>
    <x v="20"/>
    <x v="20"/>
    <x v="4"/>
    <n v="4157.9400000000014"/>
    <n v="3465.15"/>
    <n v="4165.8540000000003"/>
    <n v="3417.284000000001"/>
    <n v="3376.8780000000002"/>
    <n v="3591.3560000000002"/>
    <n v="3445.81"/>
    <n v="3378.7539999999999"/>
    <n v="3465.15"/>
    <n v="0.16661856592447247"/>
    <n v="-1.9033463686341909E-3"/>
    <n v="0.17813051655387047"/>
    <n v="0.18784830949941581"/>
    <n v="0.13626555457750736"/>
    <n v="0.17126990769467604"/>
    <n v="0.18739712453763191"/>
    <n v="0.16661856592447247"/>
    <n v="3186.46"/>
    <n v="3465.0100000000011"/>
    <n v="3169.127"/>
    <n v="3417.1790000000001"/>
    <n v="3376.7919999999999"/>
    <n v="3591.2460000000001"/>
    <n v="3445.7089999999998"/>
    <n v="3378.6619999999998"/>
    <n v="3465.0100000000011"/>
    <n v="0.76635545486466827"/>
    <n v="0.9999595977086132"/>
    <n v="0.76073885450618284"/>
    <n v="0.9999692738443744"/>
    <n v="0.99997453268966185"/>
    <n v="0.99996937090057347"/>
    <n v="0.9999706890397323"/>
    <n v="0.9999727710274261"/>
    <n v="0.9999595977086132"/>
  </r>
  <r>
    <x v="5"/>
    <x v="21"/>
    <x v="21"/>
    <x v="0"/>
    <n v="44365"/>
    <n v="44365"/>
    <n v="44365"/>
    <n v="44365"/>
    <n v="44365"/>
    <n v="44365"/>
    <n v="44365"/>
    <n v="44365"/>
    <n v="44365"/>
    <n v="0"/>
    <n v="0"/>
    <n v="0"/>
    <n v="0"/>
    <n v="0"/>
    <n v="0"/>
    <n v="0"/>
    <n v="0"/>
    <n v="24451.3"/>
    <n v="44364.7"/>
    <n v="24451.3"/>
    <n v="44364.7"/>
    <n v="44364.7"/>
    <n v="44364.7"/>
    <n v="44364.7"/>
    <n v="44364.7"/>
    <n v="44364.7"/>
    <n v="0.55113941169841085"/>
    <n v="0.99999323791276906"/>
    <n v="0.55113941169841085"/>
    <n v="0.99999323791276906"/>
    <n v="0.99999323791276906"/>
    <n v="0.99999323791276906"/>
    <n v="0.99999323791276906"/>
    <n v="0.99999323791276906"/>
    <n v="0.99999323791276906"/>
  </r>
  <r>
    <x v="5"/>
    <x v="21"/>
    <x v="21"/>
    <x v="1"/>
    <n v="22889.9"/>
    <n v="18056.8"/>
    <n v="22929.040000000001"/>
    <n v="17739.990000000002"/>
    <n v="17689.419999999998"/>
    <n v="18082.8"/>
    <n v="17806.22"/>
    <n v="17683.25"/>
    <n v="17976.77"/>
    <n v="0.21114552706652287"/>
    <n v="-1.7099244645017854E-3"/>
    <n v="0.22498612925351355"/>
    <n v="0.2271954005915274"/>
    <n v="0.21000965491330245"/>
    <n v="0.22209271338013709"/>
    <n v="0.22746495179096463"/>
    <n v="0.21464182892891628"/>
    <n v="14699.4"/>
    <n v="18056.2"/>
    <n v="14682.79"/>
    <n v="17739.560000000001"/>
    <n v="17689"/>
    <n v="18082.310000000001"/>
    <n v="17805.75"/>
    <n v="17682.84"/>
    <n v="17976.3"/>
    <n v="0.64217842804031466"/>
    <n v="0.99996677152097835"/>
    <n v="0.64035781698666849"/>
    <n v="0.99997576097844476"/>
    <n v="0.99997625699429382"/>
    <n v="0.99997290242661541"/>
    <n v="0.99997360472913388"/>
    <n v="0.99997681421684359"/>
    <n v="0.99997385514750414"/>
  </r>
  <r>
    <x v="5"/>
    <x v="21"/>
    <x v="21"/>
    <x v="2"/>
    <n v="15145.7"/>
    <n v="12786.1"/>
    <n v="15376.51"/>
    <n v="12677.54"/>
    <n v="12589.44"/>
    <n v="12987.09"/>
    <n v="12681.23"/>
    <n v="12597.69"/>
    <n v="12786.1"/>
    <n v="0.155793393504427"/>
    <n v="-1.5239308846735343E-2"/>
    <n v="0.1629611044718963"/>
    <n v="0.16877793697220994"/>
    <n v="0.14252296031216785"/>
    <n v="0.16271747096535658"/>
    <n v="0.16823322791287296"/>
    <n v="0.155793393504427"/>
    <n v="11069.1"/>
    <n v="12785.8"/>
    <n v="11072.07"/>
    <n v="12677.18"/>
    <n v="12589.1"/>
    <n v="12986.71"/>
    <n v="12680.84"/>
    <n v="12597.32"/>
    <n v="12785.8"/>
    <n v="0.73084109681295684"/>
    <n v="0.9999765370206708"/>
    <n v="0.72006391567397277"/>
    <n v="0.99997160332367319"/>
    <n v="0.99997299323877786"/>
    <n v="0.99997074017351073"/>
    <n v="0.99996924588545433"/>
    <n v="0.99997062953604976"/>
    <n v="0.9999765370206708"/>
  </r>
  <r>
    <x v="5"/>
    <x v="21"/>
    <x v="21"/>
    <x v="3"/>
    <n v="11764.5"/>
    <n v="10184.6"/>
    <n v="11734.98"/>
    <n v="10169.94"/>
    <n v="10085.84"/>
    <n v="10388.67"/>
    <n v="10166.02"/>
    <n v="10069.700000000001"/>
    <n v="10184.6"/>
    <n v="0.13429385014237746"/>
    <n v="2.5092439117684931E-3"/>
    <n v="0.13553997194950906"/>
    <n v="0.14268859705044837"/>
    <n v="0.1169475965829402"/>
    <n v="0.13587317778061112"/>
    <n v="0.14406052105911848"/>
    <n v="0.13429385014237746"/>
    <n v="9356.61"/>
    <n v="10184.299999999999"/>
    <n v="9321.6769999999997"/>
    <n v="10169.69"/>
    <n v="10085.6"/>
    <n v="10388.39"/>
    <n v="10165.74"/>
    <n v="10069.41"/>
    <n v="10184.299999999999"/>
    <n v="0.79532576820094358"/>
    <n v="0.99997054376215055"/>
    <n v="0.79434962820558708"/>
    <n v="0.99997541775074383"/>
    <n v="0.9999762042626098"/>
    <n v="0.99997304756046723"/>
    <n v="0.9999724572644948"/>
    <n v="0.99997120073090551"/>
    <n v="0.99997054376215055"/>
  </r>
  <r>
    <x v="5"/>
    <x v="21"/>
    <x v="21"/>
    <x v="4"/>
    <n v="9916.75"/>
    <n v="8972.2400000000016"/>
    <n v="9882.1389999999992"/>
    <n v="8940.6139999999996"/>
    <n v="8849.4310000000005"/>
    <n v="9113.3339999999989"/>
    <n v="8924.1710000000003"/>
    <n v="8865.1739999999991"/>
    <n v="8972.2400000000016"/>
    <n v="9.5243905513398883E-2"/>
    <n v="3.4901555449114666E-3"/>
    <n v="9.8433055184410256E-2"/>
    <n v="0.10762790228653536"/>
    <n v="8.1016058688582554E-2"/>
    <n v="0.10009115889782436"/>
    <n v="0.10604038621524198"/>
    <n v="9.5243905513398883E-2"/>
    <n v="8509.7999999999993"/>
    <n v="8971.9699999999993"/>
    <n v="8479.3389999999999"/>
    <n v="8940.3889999999992"/>
    <n v="8849.1910000000007"/>
    <n v="9113.1059999999998"/>
    <n v="8923.9310000000005"/>
    <n v="8864.9399999999987"/>
    <n v="8971.9699999999993"/>
    <n v="0.85812388131192163"/>
    <n v="0.99996990718036938"/>
    <n v="0.85804692688495887"/>
    <n v="0.9999748339431721"/>
    <n v="0.99997287961225989"/>
    <n v="0.99997498171360788"/>
    <n v="0.99997310674571338"/>
    <n v="0.99997360457899642"/>
    <n v="0.99996990718036938"/>
  </r>
  <r>
    <x v="5"/>
    <x v="22"/>
    <x v="22"/>
    <x v="0"/>
    <n v="63835.19999999999"/>
    <n v="63835.19999999999"/>
    <n v="63835.19999999999"/>
    <n v="63835.19999999999"/>
    <n v="63835.19999999999"/>
    <n v="63835.19999999999"/>
    <n v="63835.19999999999"/>
    <n v="63835.19999999999"/>
    <n v="63835.19999999999"/>
    <n v="0"/>
    <n v="0"/>
    <n v="0"/>
    <n v="0"/>
    <n v="0"/>
    <n v="0"/>
    <n v="0"/>
    <n v="0"/>
    <n v="33912.099999999991"/>
    <n v="63834.69999999999"/>
    <n v="33912.099999999991"/>
    <n v="63834.69999999999"/>
    <n v="63834.69999999999"/>
    <n v="63834.69999999999"/>
    <n v="63834.69999999999"/>
    <n v="63834.69999999999"/>
    <n v="63834.69999999999"/>
    <n v="0.5312445171316138"/>
    <n v="0.99999216733087704"/>
    <n v="0.5312445171316138"/>
    <n v="0.99999216733087704"/>
    <n v="0.99999216733087704"/>
    <n v="0.99999216733087704"/>
    <n v="0.99999216733087704"/>
    <n v="0.99999216733087704"/>
    <n v="0.99999216733087704"/>
  </r>
  <r>
    <x v="5"/>
    <x v="22"/>
    <x v="22"/>
    <x v="1"/>
    <n v="32849.199999999997"/>
    <n v="24254.1"/>
    <n v="32761.68"/>
    <n v="24193.78"/>
    <n v="23732.41"/>
    <n v="24509.439999999999"/>
    <n v="24069.43"/>
    <n v="23726.89"/>
    <n v="24253.88"/>
    <n v="0.26165325182957272"/>
    <n v="2.6642962385688787E-3"/>
    <n v="0.2634895218148387"/>
    <n v="0.27753461271507368"/>
    <n v="0.25388015537669101"/>
    <n v="0.26727500213094985"/>
    <n v="0.27770265333706751"/>
    <n v="0.26165994910073903"/>
    <n v="18860.400000000001"/>
    <n v="24253.200000000001"/>
    <n v="18840.88"/>
    <n v="24193.06"/>
    <n v="23731.63"/>
    <n v="24508.61"/>
    <n v="24068.639999999999"/>
    <n v="23726.06"/>
    <n v="24252.98"/>
    <n v="0.57415096866894788"/>
    <n v="0.9999628928717208"/>
    <n v="0.57508894537764854"/>
    <n v="0.99997024028489978"/>
    <n v="0.9999671335528082"/>
    <n v="0.99996613549717994"/>
    <n v="0.99996717828382309"/>
    <n v="0.99996501859282871"/>
    <n v="0.99996289253513249"/>
  </r>
  <r>
    <x v="5"/>
    <x v="22"/>
    <x v="22"/>
    <x v="2"/>
    <n v="19748.8"/>
    <n v="15540"/>
    <n v="19969.650000000001"/>
    <n v="15554.45"/>
    <n v="15275.25"/>
    <n v="15671.51"/>
    <n v="15481.56"/>
    <n v="15295.07"/>
    <n v="15540"/>
    <n v="0.21311674633395444"/>
    <n v="-1.1182957951875667E-2"/>
    <n v="0.2123850563072186"/>
    <n v="0.22652262415944258"/>
    <n v="0.2064576075508385"/>
    <n v="0.21607591347322369"/>
    <n v="0.22551901887709633"/>
    <n v="0.21311674633395444"/>
    <n v="12790.9"/>
    <n v="15539.3"/>
    <n v="12793.57"/>
    <n v="15553.86"/>
    <n v="15274.65"/>
    <n v="15670.95"/>
    <n v="15480.97"/>
    <n v="15294.47"/>
    <n v="15539.3"/>
    <n v="0.64767985902940939"/>
    <n v="0.9999549549549549"/>
    <n v="0.64065068741815701"/>
    <n v="0.99996206873274207"/>
    <n v="0.99996072077380072"/>
    <n v="0.99996426636616387"/>
    <n v="0.99996189014543757"/>
    <n v="0.99996077167348696"/>
    <n v="0.9999549549549549"/>
  </r>
  <r>
    <x v="5"/>
    <x v="22"/>
    <x v="22"/>
    <x v="3"/>
    <n v="13434.5"/>
    <n v="11136.7"/>
    <n v="13636.48"/>
    <n v="11215.92"/>
    <n v="11061.77"/>
    <n v="11414.27"/>
    <n v="11127.85"/>
    <n v="11063.09"/>
    <n v="11136.7"/>
    <n v="0.17103725482898502"/>
    <n v="-1.5034426290520642E-2"/>
    <n v="0.16514049648293572"/>
    <n v="0.17661468606944802"/>
    <n v="0.15037627005098811"/>
    <n v="0.17169600655029957"/>
    <n v="0.17651643157542149"/>
    <n v="0.17103725482898502"/>
    <n v="9752.14"/>
    <n v="11136.2"/>
    <n v="9796.7829999999994"/>
    <n v="11215.52"/>
    <n v="11061.3"/>
    <n v="11413.86"/>
    <n v="11127.37"/>
    <n v="11062.6"/>
    <n v="11136.2"/>
    <n v="0.72590271316386912"/>
    <n v="0.99995510339687699"/>
    <n v="0.71842462277655228"/>
    <n v="0.99996433640753501"/>
    <n v="0.99995751132052091"/>
    <n v="0.99996408005067339"/>
    <n v="0.99995686498290326"/>
    <n v="0.99995570857689853"/>
    <n v="0.99995510339687699"/>
  </r>
  <r>
    <x v="5"/>
    <x v="22"/>
    <x v="22"/>
    <x v="4"/>
    <n v="10238.299999999999"/>
    <n v="9057.6499999999978"/>
    <n v="10533.78"/>
    <n v="9126.7950000000001"/>
    <n v="8943.0640000000003"/>
    <n v="9391.1939999999995"/>
    <n v="9044.6620000000003"/>
    <n v="8954.4449999999997"/>
    <n v="9057.6499999999978"/>
    <n v="0.11531699598566184"/>
    <n v="-2.886026000410238E-2"/>
    <n v="0.10856343338249506"/>
    <n v="0.12650889307795229"/>
    <n v="8.2738931267886257E-2"/>
    <n v="0.11658556596309926"/>
    <n v="0.12539728275201933"/>
    <n v="0.11531699598566184"/>
    <n v="8252.2900000000027"/>
    <n v="9057.3999999999978"/>
    <n v="8397.0159999999996"/>
    <n v="9126.4970000000012"/>
    <n v="8942.8050000000003"/>
    <n v="9390.9319999999989"/>
    <n v="9044.41"/>
    <n v="8954.1640000000007"/>
    <n v="9057.3999999999978"/>
    <n v="0.80602150747682755"/>
    <n v="0.99997239902182133"/>
    <n v="0.79715126004150449"/>
    <n v="0.9999673488886297"/>
    <n v="0.99997103900855455"/>
    <n v="0.9999721015240447"/>
    <n v="0.99997213826232534"/>
    <n v="0.99996861893729883"/>
    <n v="0.99997239902182133"/>
  </r>
  <r>
    <x v="5"/>
    <x v="23"/>
    <x v="23"/>
    <x v="0"/>
    <n v="160336"/>
    <n v="160336"/>
    <n v="160336"/>
    <n v="160336"/>
    <n v="160336"/>
    <n v="160336"/>
    <n v="160336"/>
    <n v="160336"/>
    <n v="160336"/>
    <n v="0"/>
    <n v="0"/>
    <n v="0"/>
    <n v="0"/>
    <n v="0"/>
    <n v="0"/>
    <n v="0"/>
    <n v="0"/>
    <n v="91650.6"/>
    <n v="160334"/>
    <n v="91650.6"/>
    <n v="160334"/>
    <n v="160334"/>
    <n v="160334"/>
    <n v="160334"/>
    <n v="160334"/>
    <n v="160334"/>
    <n v="0.57161585670092807"/>
    <n v="0.99998752619499054"/>
    <n v="0.57161585670092807"/>
    <n v="0.99998752619499054"/>
    <n v="0.99998752619499054"/>
    <n v="0.99998752619499054"/>
    <n v="0.99998752619499054"/>
    <n v="0.99998752619499054"/>
    <n v="0.99998752619499054"/>
  </r>
  <r>
    <x v="5"/>
    <x v="23"/>
    <x v="23"/>
    <x v="1"/>
    <n v="90475.7"/>
    <n v="70640.899999999994"/>
    <n v="91272.180000000008"/>
    <n v="70917.399999999994"/>
    <n v="69750.14"/>
    <n v="71224.459999999992"/>
    <n v="70163.37000000001"/>
    <n v="69939.8"/>
    <n v="70640.899999999994"/>
    <n v="0.2192279252882266"/>
    <n v="-8.8032477228693513E-3"/>
    <n v="0.21617185608953568"/>
    <n v="0.22907322076535466"/>
    <n v="0.21277801663872184"/>
    <n v="0.22450591705839235"/>
    <n v="0.22697696729619107"/>
    <n v="0.2192279252882266"/>
    <n v="58238.400000000001"/>
    <n v="70638.800000000017"/>
    <n v="58360.19"/>
    <n v="70915.58"/>
    <n v="69748.329999999987"/>
    <n v="71222.540000000008"/>
    <n v="70161.42"/>
    <n v="69937.850000000006"/>
    <n v="70638.800000000017"/>
    <n v="0.64369106843052892"/>
    <n v="0.9999702721794318"/>
    <n v="0.63940830601394638"/>
    <n v="0.99997433634058785"/>
    <n v="0.99997405023129682"/>
    <n v="0.99997304296866574"/>
    <n v="0.99997220772035311"/>
    <n v="0.9999721188793792"/>
    <n v="0.9999702721794318"/>
  </r>
  <r>
    <x v="5"/>
    <x v="23"/>
    <x v="23"/>
    <x v="2"/>
    <n v="61358.600000000013"/>
    <n v="51320.2"/>
    <n v="61919.87"/>
    <n v="51506.539999999994"/>
    <n v="51022.87"/>
    <n v="51717.38"/>
    <n v="51232.61"/>
    <n v="51050.080000000002"/>
    <n v="51320.2"/>
    <n v="0.16360216823721555"/>
    <n v="-9.1473729843899541E-3"/>
    <n v="0.16056526713451769"/>
    <n v="0.16844794372752978"/>
    <n v="0.15712907400103676"/>
    <n v="0.16502967799134938"/>
    <n v="0.16800448510885205"/>
    <n v="0.16360216823721555"/>
    <n v="45083.8"/>
    <n v="51318.8"/>
    <n v="45116.639999999999"/>
    <n v="51505.13"/>
    <n v="51021.48"/>
    <n v="51716.05"/>
    <n v="51231.13"/>
    <n v="51048.61"/>
    <n v="51318.8"/>
    <n v="0.73475926764952249"/>
    <n v="0.99997272029337392"/>
    <n v="0.72862943672200853"/>
    <n v="0.99997262483560345"/>
    <n v="0.99997275731451407"/>
    <n v="0.99997428330669502"/>
    <n v="0.99997111214907841"/>
    <n v="0.999971204746398"/>
    <n v="0.99997272029337392"/>
  </r>
  <r>
    <x v="5"/>
    <x v="23"/>
    <x v="23"/>
    <x v="3"/>
    <n v="46856"/>
    <n v="41653.9"/>
    <n v="47516.539999999994"/>
    <n v="41889.33"/>
    <n v="41580.910000000003"/>
    <n v="42015.85"/>
    <n v="41647.230000000003"/>
    <n v="41569.879999999997"/>
    <n v="41653.900000000009"/>
    <n v="0.11102313471060267"/>
    <n v="-1.4097234078879837E-2"/>
    <n v="0.10599859142905921"/>
    <n v="0.11258088611917356"/>
    <n v="0.10329840361960051"/>
    <n v="0.11116548574355466"/>
    <n v="0.11281628820215132"/>
    <n v="0.11102313471060252"/>
    <n v="38512.099999999991"/>
    <n v="41652.599999999991"/>
    <n v="38647.699999999997"/>
    <n v="41888.300000000003"/>
    <n v="41579.980000000003"/>
    <n v="42014.89"/>
    <n v="41645.969999999987"/>
    <n v="41568.650000000009"/>
    <n v="41652.599999999991"/>
    <n v="0.82192462011268552"/>
    <n v="0.99996879043738973"/>
    <n v="0.81335257154666574"/>
    <n v="0.99997541139951396"/>
    <n v="0.9999776339671258"/>
    <n v="0.9999771514797392"/>
    <n v="0.999969745887061"/>
    <n v="0.99997041126892861"/>
    <n v="0.99996879043738962"/>
  </r>
  <r>
    <x v="5"/>
    <x v="23"/>
    <x v="23"/>
    <x v="4"/>
    <n v="39693.9"/>
    <n v="36881.4"/>
    <n v="40138.080000000002"/>
    <n v="37128.370000000003"/>
    <n v="36818.379999999997"/>
    <n v="37341.85"/>
    <n v="36870.339999999997"/>
    <n v="36799.43"/>
    <n v="36881.400000000009"/>
    <n v="7.0854715711985969E-2"/>
    <n v="-1.1190132488871093E-2"/>
    <n v="6.4632852906869792E-2"/>
    <n v="7.2442365199690731E-2"/>
    <n v="5.9254696565467307E-2"/>
    <n v="7.1133347945150388E-2"/>
    <n v="7.2919768528665635E-2"/>
    <n v="7.0854715711985788E-2"/>
    <n v="35224.900000000009"/>
    <n v="36880.400000000009"/>
    <n v="35525.230000000003"/>
    <n v="37127.58"/>
    <n v="36817.58"/>
    <n v="37341.180000000008"/>
    <n v="36869.240000000013"/>
    <n v="36798.409999999989"/>
    <n v="36880.400000000009"/>
    <n v="0.88741343128289252"/>
    <n v="0.99997288606180912"/>
    <n v="0.88507546947935734"/>
    <n v="0.99997872247017572"/>
    <n v="0.99997827172189557"/>
    <n v="0.99998205766452408"/>
    <n v="0.99997016572128206"/>
    <n v="0.9999722821793704"/>
    <n v="0.9999728860618089"/>
  </r>
  <r>
    <x v="6"/>
    <x v="24"/>
    <x v="24"/>
    <x v="0"/>
    <n v="7693.88"/>
    <n v="7693.88"/>
    <n v="7693.88"/>
    <n v="7693.88"/>
    <n v="7693.88"/>
    <n v="7693.88"/>
    <n v="7693.88"/>
    <n v="7693.88"/>
    <n v="7693.88"/>
    <n v="0"/>
    <n v="0"/>
    <n v="0"/>
    <n v="0"/>
    <n v="0"/>
    <n v="0"/>
    <n v="0"/>
    <n v="0"/>
    <n v="6039.3000000000011"/>
    <n v="7693.8399999999992"/>
    <n v="6039.3000000000011"/>
    <n v="7693.8399999999992"/>
    <n v="7693.8399999999992"/>
    <n v="7693.8399999999992"/>
    <n v="7693.8399999999992"/>
    <n v="7693.8399999999992"/>
    <n v="7693.8399999999992"/>
    <n v="0.78494855651504847"/>
    <n v="0.9999948010626627"/>
    <n v="0.78494855651504847"/>
    <n v="0.9999948010626627"/>
    <n v="0.9999948010626627"/>
    <n v="0.9999948010626627"/>
    <n v="0.9999948010626627"/>
    <n v="0.9999948010626627"/>
    <n v="0.9999948010626627"/>
  </r>
  <r>
    <x v="6"/>
    <x v="24"/>
    <x v="24"/>
    <x v="1"/>
    <n v="3910.79"/>
    <n v="3561.37"/>
    <n v="3787.204999999999"/>
    <n v="3393.4290000000001"/>
    <n v="3381.5970000000002"/>
    <n v="3473.63"/>
    <n v="3390.608999999999"/>
    <n v="3383.5140000000001"/>
    <n v="3465.5949999999998"/>
    <n v="8.9347676556399108E-2"/>
    <n v="3.1601032016549326E-2"/>
    <n v="0.13229066250041549"/>
    <n v="0.1353161381715714"/>
    <n v="0.1117830412781049"/>
    <n v="0.13301174443015373"/>
    <n v="0.1348259558810368"/>
    <n v="0.1138376133722343"/>
    <n v="3026.96"/>
    <n v="3468.12"/>
    <n v="3019.777"/>
    <n v="3386.4360000000001"/>
    <n v="3376.75"/>
    <n v="3425.7739999999999"/>
    <n v="3385.9520000000002"/>
    <n v="3376.81"/>
    <n v="3423.94"/>
    <n v="0.77400218370201423"/>
    <n v="0.97381625610369038"/>
    <n v="0.79736296292384512"/>
    <n v="0.99793925259670968"/>
    <n v="0.99856665356634744"/>
    <n v="0.98622305772347651"/>
    <n v="0.99862650043104384"/>
    <n v="0.99801862797080187"/>
    <n v="0.98798041894681876"/>
  </r>
  <r>
    <x v="6"/>
    <x v="24"/>
    <x v="24"/>
    <x v="2"/>
    <n v="1993.39"/>
    <n v="1777.84"/>
    <n v="1933.1590000000001"/>
    <n v="1772.6179999999999"/>
    <n v="1752.921"/>
    <n v="1718.9159999999999"/>
    <n v="1735.319"/>
    <n v="1749.492"/>
    <n v="1718.0609999999999"/>
    <n v="0.10813237750766291"/>
    <n v="3.0215361770652E-2"/>
    <n v="0.11075203547725239"/>
    <n v="0.12063319270187974"/>
    <n v="0.13769207229894809"/>
    <n v="0.1294633764591977"/>
    <n v="0.12235337791400586"/>
    <n v="0.13812098987152546"/>
    <n v="1629.61"/>
    <n v="1722.74"/>
    <n v="1535.73"/>
    <n v="1727.231"/>
    <n v="1703.8820000000001"/>
    <n v="1715.93"/>
    <n v="1721.4380000000001"/>
    <n v="1701.7819999999999"/>
    <n v="1715.3889999999999"/>
    <n v="0.81750686017287122"/>
    <n v="0.96900733474328404"/>
    <n v="0.79441473774273086"/>
    <n v="0.9743954986353518"/>
    <n v="0.97202440954270042"/>
    <n v="0.99826285868535758"/>
    <n v="0.99200089436005723"/>
    <n v="0.97272922654119021"/>
    <n v="0.99844475836422575"/>
  </r>
  <r>
    <x v="6"/>
    <x v="24"/>
    <x v="24"/>
    <x v="3"/>
    <n v="1233.52"/>
    <n v="1086.79"/>
    <n v="1179.6369999999999"/>
    <n v="1046.0840000000001"/>
    <n v="950.04510000000005"/>
    <n v="966.91960000000017"/>
    <n v="1062.77"/>
    <n v="949.48340000000007"/>
    <n v="966.92499999999995"/>
    <n v="0.11895226668396136"/>
    <n v="4.3682307542642226E-2"/>
    <n v="0.15195213697386337"/>
    <n v="0.22980973150009723"/>
    <n v="0.21612977495297994"/>
    <n v="0.13842499513587134"/>
    <n v="0.23026509501264666"/>
    <n v="0.21612539723717494"/>
    <n v="940.51200000000006"/>
    <n v="1086.6500000000001"/>
    <n v="942.75600000000009"/>
    <n v="1045.5889999999999"/>
    <n v="949.99080000000015"/>
    <n v="962.91049999999996"/>
    <n v="1058.451"/>
    <n v="949.42920000000015"/>
    <n v="962.25699999999995"/>
    <n v="0.76246189765873273"/>
    <n v="0.99987118026481669"/>
    <n v="0.79919161572585473"/>
    <n v="0.99952680664267868"/>
    <n v="0.99994284481863027"/>
    <n v="0.99585374006277227"/>
    <n v="0.99593609153438656"/>
    <n v="0.99994291632692056"/>
    <n v="0.99517232463738137"/>
  </r>
  <r>
    <x v="6"/>
    <x v="24"/>
    <x v="24"/>
    <x v="4"/>
    <n v="1186.18"/>
    <n v="882.8889999999999"/>
    <n v="973.96859999999992"/>
    <n v="882.73809999999992"/>
    <n v="882.50499999999988"/>
    <n v="882.50580000000014"/>
    <n v="882.50499999999988"/>
    <n v="882.50499999999988"/>
    <n v="882.50679999999988"/>
    <n v="0.25568716383685458"/>
    <n v="0.17890320187492634"/>
    <n v="0.25581437893068515"/>
    <n v="0.25601089210743744"/>
    <n v="0.25601021767354021"/>
    <n v="0.25601089210743744"/>
    <n v="0.25601089210743744"/>
    <n v="0.25600937463116907"/>
    <n v="848.68600000000004"/>
    <n v="882.81100000000004"/>
    <n v="848.68600000000004"/>
    <n v="882.45299999999986"/>
    <n v="882.45299999999986"/>
    <n v="882.45299999999986"/>
    <n v="882.45299999999986"/>
    <n v="882.45299999999986"/>
    <n v="882.45299999999986"/>
    <n v="0.71547825793724396"/>
    <n v="0.99991165367333845"/>
    <n v="0.87136895378352042"/>
    <n v="0.99967702764840438"/>
    <n v="0.99994107682109445"/>
    <n v="0.99994017036488569"/>
    <n v="0.99994107682109445"/>
    <n v="0.99994107682109445"/>
    <n v="0.99993903729693634"/>
  </r>
  <r>
    <x v="6"/>
    <x v="25"/>
    <x v="25"/>
    <x v="0"/>
    <n v="34946.199999999997"/>
    <n v="34946.199999999997"/>
    <n v="34946.199999999997"/>
    <n v="34946.199999999997"/>
    <n v="34946.199999999997"/>
    <n v="34946.199999999997"/>
    <n v="34946.199999999997"/>
    <n v="34946.199999999997"/>
    <n v="34946.199999999997"/>
    <n v="0"/>
    <n v="0"/>
    <n v="0"/>
    <n v="0"/>
    <n v="0"/>
    <n v="0"/>
    <n v="0"/>
    <n v="0"/>
    <n v="31868.900000000009"/>
    <n v="34946.099999999991"/>
    <n v="31868.900000000009"/>
    <n v="34946.099999999991"/>
    <n v="34946.099999999991"/>
    <n v="34946.099999999991"/>
    <n v="34946.099999999991"/>
    <n v="34946.099999999991"/>
    <n v="34946.099999999991"/>
    <n v="0.9119417848006367"/>
    <n v="0.99999713845854465"/>
    <n v="0.9119417848006367"/>
    <n v="0.99999713845854465"/>
    <n v="0.99999713845854465"/>
    <n v="0.99999713845854465"/>
    <n v="0.99999713845854465"/>
    <n v="0.99999713845854465"/>
    <n v="0.99999713845854465"/>
  </r>
  <r>
    <x v="6"/>
    <x v="25"/>
    <x v="25"/>
    <x v="1"/>
    <n v="17390.8"/>
    <n v="16827.5"/>
    <n v="17216.38"/>
    <n v="16620.45"/>
    <n v="16524.78"/>
    <n v="16761.740000000002"/>
    <n v="16629.3"/>
    <n v="16511.98"/>
    <n v="16778.02"/>
    <n v="3.2390689329990528E-2"/>
    <n v="1.002944085378466E-2"/>
    <n v="4.4296409595878196E-2"/>
    <n v="4.9797594130229807E-2"/>
    <n v="3.6171998987970522E-2"/>
    <n v="4.3787519838075308E-2"/>
    <n v="5.0533615474848755E-2"/>
    <n v="3.5235871840283303E-2"/>
    <n v="15942.8"/>
    <n v="16707.900000000001"/>
    <n v="15934.62"/>
    <n v="16577.650000000001"/>
    <n v="16504.89"/>
    <n v="16659.14"/>
    <n v="16581.329999999991"/>
    <n v="16502.12"/>
    <n v="16659.97"/>
    <n v="0.91673758538997629"/>
    <n v="0.9928925865398901"/>
    <n v="0.9255499704351321"/>
    <n v="0.99742485913437973"/>
    <n v="0.99879635311332438"/>
    <n v="0.99387891710526455"/>
    <n v="0.99711533257563412"/>
    <n v="0.99940285780384908"/>
    <n v="0.99296400886397806"/>
  </r>
  <r>
    <x v="6"/>
    <x v="25"/>
    <x v="25"/>
    <x v="2"/>
    <n v="8528.619999999999"/>
    <n v="8530.33"/>
    <n v="8782.1409999999996"/>
    <n v="8426.9060000000009"/>
    <n v="8346.8490000000002"/>
    <n v="8594.8559999999998"/>
    <n v="8493.6669999999976"/>
    <n v="8328.4029999999984"/>
    <n v="8521.773000000001"/>
    <n v="-2.0050137067907189E-4"/>
    <n v="-2.9725911108714032E-2"/>
    <n v="1.1926196735227755E-2"/>
    <n v="2.1313061198646305E-2"/>
    <n v="-7.7663209288256242E-3"/>
    <n v="4.0983183680362526E-3"/>
    <n v="2.3475896452181077E-2"/>
    <n v="8.0282624856048629E-4"/>
    <n v="7978.2299999999987"/>
    <n v="8395.1499999999978"/>
    <n v="8024.0860000000002"/>
    <n v="8349.5669999999991"/>
    <n v="8270.8809999999994"/>
    <n v="8487.4189999999999"/>
    <n v="8359.2650000000012"/>
    <n v="8276.4000000000015"/>
    <n v="8395.0280000000002"/>
    <n v="0.93546552666199212"/>
    <n v="0.98415301635458396"/>
    <n v="0.9136822102947334"/>
    <n v="0.99082237300380449"/>
    <n v="0.99089860137639951"/>
    <n v="0.9874998487467388"/>
    <n v="0.98417621034589697"/>
    <n v="0.99375594576775439"/>
    <n v="0.98512692135779711"/>
  </r>
  <r>
    <x v="6"/>
    <x v="25"/>
    <x v="25"/>
    <x v="3"/>
    <n v="4605.6000000000004"/>
    <n v="4255.6600000000008"/>
    <n v="4615.588999999999"/>
    <n v="4480.5290000000005"/>
    <n v="4283.8490000000002"/>
    <n v="4466.1560000000009"/>
    <n v="4275.4409999999998"/>
    <n v="4222.0350000000008"/>
    <n v="4255.6600000000008"/>
    <n v="7.5981413930866673E-2"/>
    <n v="-2.1688813618201035E-3"/>
    <n v="2.7156287997220755E-2"/>
    <n v="6.9860821608476675E-2"/>
    <n v="3.0277054021191484E-2"/>
    <n v="7.1686425221469632E-2"/>
    <n v="8.3282308494007196E-2"/>
    <n v="7.5981413930866673E-2"/>
    <n v="4068.1799999999989"/>
    <n v="4212.99"/>
    <n v="4281.1869999999999"/>
    <n v="4458.7480000000014"/>
    <n v="4239.9490000000014"/>
    <n v="4410.75"/>
    <n v="4212.99"/>
    <n v="4168.4429999999993"/>
    <n v="4212.99"/>
    <n v="0.88331162063574753"/>
    <n v="0.9899733531344137"/>
    <n v="0.92754944168555753"/>
    <n v="0.99513874366174193"/>
    <n v="0.98975220648533624"/>
    <n v="0.98759425331313977"/>
    <n v="0.98539308576588935"/>
    <n v="0.98730659504243767"/>
    <n v="0.9899733531344137"/>
  </r>
  <r>
    <x v="6"/>
    <x v="25"/>
    <x v="25"/>
    <x v="4"/>
    <n v="4248.8000000000011"/>
    <n v="3981.64"/>
    <n v="4061.598"/>
    <n v="3981.2600000000011"/>
    <n v="3981.2600000000011"/>
    <n v="3981.2600000000011"/>
    <n v="3981.592000000001"/>
    <n v="3981.2600000000011"/>
    <n v="3981.2600000000011"/>
    <n v="6.2878930521559295E-2"/>
    <n v="4.4059969873846992E-2"/>
    <n v="6.2968367539069828E-2"/>
    <n v="6.2968367539069828E-2"/>
    <n v="6.2968367539069828E-2"/>
    <n v="6.2890227829034084E-2"/>
    <n v="6.2968367539069828E-2"/>
    <n v="6.2968367539069828E-2"/>
    <n v="3951.4499999999989"/>
    <n v="3981.56"/>
    <n v="3951.4499999999989"/>
    <n v="3981.21"/>
    <n v="3981.21"/>
    <n v="3981.21"/>
    <n v="3981.21"/>
    <n v="3981.21"/>
    <n v="3981.21"/>
    <n v="0.93001553379777768"/>
    <n v="0.9999799077766951"/>
    <n v="0.97288062481811322"/>
    <n v="0.99998744116184302"/>
    <n v="0.99998744116184302"/>
    <n v="0.99998744116184302"/>
    <n v="0.99990405847711139"/>
    <n v="0.99998744116184302"/>
    <n v="0.99998744116184302"/>
  </r>
  <r>
    <x v="6"/>
    <x v="26"/>
    <x v="26"/>
    <x v="0"/>
    <n v="43754.599999999991"/>
    <n v="43754.599999999991"/>
    <n v="43754.599999999991"/>
    <n v="43754.599999999991"/>
    <n v="43754.599999999991"/>
    <n v="43754.599999999991"/>
    <n v="43754.599999999991"/>
    <n v="43754.599999999991"/>
    <n v="43754.599999999991"/>
    <n v="0"/>
    <n v="0"/>
    <n v="0"/>
    <n v="0"/>
    <n v="0"/>
    <n v="0"/>
    <n v="0"/>
    <n v="0"/>
    <n v="37763.800000000003"/>
    <n v="43754.400000000009"/>
    <n v="37763.800000000003"/>
    <n v="43754.400000000009"/>
    <n v="43754.400000000009"/>
    <n v="43754.400000000009"/>
    <n v="43754.400000000009"/>
    <n v="43754.400000000009"/>
    <n v="43754.400000000009"/>
    <n v="0.86308182453959148"/>
    <n v="0.99999542905203154"/>
    <n v="0.86308182453959148"/>
    <n v="0.99999542905203154"/>
    <n v="0.99999542905203154"/>
    <n v="0.99999542905203154"/>
    <n v="0.99999542905203154"/>
    <n v="0.99999542905203154"/>
    <n v="0.99999542905203154"/>
  </r>
  <r>
    <x v="6"/>
    <x v="26"/>
    <x v="26"/>
    <x v="1"/>
    <n v="21774.3"/>
    <n v="20720.7"/>
    <n v="21450.43"/>
    <n v="20408.689999999999"/>
    <n v="20216.71"/>
    <n v="20566.53"/>
    <n v="20423.48"/>
    <n v="20221.2"/>
    <n v="20555.2"/>
    <n v="4.838731899532929E-2"/>
    <n v="1.4873956912506901E-2"/>
    <n v="6.2716597089229068E-2"/>
    <n v="7.1533413244053781E-2"/>
    <n v="5.5467684380209721E-2"/>
    <n v="6.2037355965518973E-2"/>
    <n v="7.1327206844766469E-2"/>
    <n v="5.5988022577074741E-2"/>
    <n v="18883.5"/>
    <n v="20378.8"/>
    <n v="18881.93"/>
    <n v="20292.48"/>
    <n v="20193.8"/>
    <n v="20366.93"/>
    <n v="20281.47"/>
    <n v="20196.77"/>
    <n v="20364.990000000002"/>
    <n v="0.86723798239208616"/>
    <n v="0.9834995921952443"/>
    <n v="0.88025881066253686"/>
    <n v="0.99430585696583174"/>
    <n v="0.99886677901597243"/>
    <n v="0.99029491119795132"/>
    <n v="0.99304672856927423"/>
    <n v="0.99879186200621128"/>
    <n v="0.99074638047793262"/>
  </r>
  <r>
    <x v="6"/>
    <x v="26"/>
    <x v="26"/>
    <x v="2"/>
    <n v="10759.7"/>
    <n v="10739.1"/>
    <n v="10917.47"/>
    <n v="10425.74"/>
    <n v="10259.200000000001"/>
    <n v="10492.47"/>
    <n v="10443.469999999999"/>
    <n v="10222.82"/>
    <n v="10501.6"/>
    <n v="1.91455152095322E-3"/>
    <n v="-1.4663048226251531E-2"/>
    <n v="3.1038040094054753E-2"/>
    <n v="4.6516166807624743E-2"/>
    <n v="2.4836194317685564E-2"/>
    <n v="2.939022463451596E-2"/>
    <n v="4.9897301969385854E-2"/>
    <n v="2.3987657648447479E-2"/>
    <n v="9446.3500000000022"/>
    <n v="10315.700000000001"/>
    <n v="9443.5620000000017"/>
    <n v="10207.77"/>
    <n v="10116.74"/>
    <n v="10267.219999999999"/>
    <n v="10223.41"/>
    <n v="10114.049999999999"/>
    <n v="10273.549999999999"/>
    <n v="0.87793804659981245"/>
    <n v="0.96057397733515848"/>
    <n v="0.86499546140268779"/>
    <n v="0.97909309075422946"/>
    <n v="0.98611392701185263"/>
    <n v="0.97853222358510439"/>
    <n v="0.9789284596020289"/>
    <n v="0.98936007872583098"/>
    <n v="0.97828426144587477"/>
  </r>
  <r>
    <x v="6"/>
    <x v="26"/>
    <x v="26"/>
    <x v="3"/>
    <n v="5539.3399999999992"/>
    <n v="5281.51"/>
    <n v="5740.1360000000004"/>
    <n v="5346.549"/>
    <n v="5180.2550000000001"/>
    <n v="5425.7979999999998"/>
    <n v="5287.2389999999996"/>
    <n v="5205.746000000001"/>
    <n v="5281.51"/>
    <n v="4.6545256294070962E-2"/>
    <n v="-3.6249083825871171E-2"/>
    <n v="3.4803965815421924E-2"/>
    <n v="6.4824509779143211E-2"/>
    <n v="2.0497387775438858E-2"/>
    <n v="4.5511017558048379E-2"/>
    <n v="6.0222698010954062E-2"/>
    <n v="4.6545256294070962E-2"/>
    <n v="4744.1000000000004"/>
    <n v="5120.3099999999986"/>
    <n v="4816.7570000000014"/>
    <n v="5201.5070000000014"/>
    <n v="5077.76"/>
    <n v="5301.4299999999994"/>
    <n v="5107.4409999999998"/>
    <n v="5061.6380000000008"/>
    <n v="5120.3099999999986"/>
    <n v="0.85643777056472448"/>
    <n v="0.96947842567750475"/>
    <n v="0.83913638979982375"/>
    <n v="0.97287184686795192"/>
    <n v="0.98021429447005992"/>
    <n v="0.97707839473566827"/>
    <n v="0.96599397152275512"/>
    <n v="0.97231751222591345"/>
    <n v="0.96947842567750475"/>
  </r>
  <r>
    <x v="6"/>
    <x v="26"/>
    <x v="26"/>
    <x v="4"/>
    <n v="2899.59"/>
    <n v="2735.17"/>
    <n v="3060.8290000000002"/>
    <n v="2931.5459999999998"/>
    <n v="2673.74"/>
    <n v="2880.8040000000001"/>
    <n v="2728.6610000000001"/>
    <n v="2613.5680000000002"/>
    <n v="2735.17"/>
    <n v="5.6704568576936759E-2"/>
    <n v="-5.5607516924806616E-2"/>
    <n v="-1.1020868467610826E-2"/>
    <n v="7.7890322424894673E-2"/>
    <n v="6.4788470094047975E-3"/>
    <n v="5.8949368703851264E-2"/>
    <n v="9.8642221831362342E-2"/>
    <n v="5.6704568576936759E-2"/>
    <n v="2447.0700000000002"/>
    <n v="2611.25"/>
    <n v="2688.4380000000001"/>
    <n v="2888.223"/>
    <n v="2617.8969999999999"/>
    <n v="2806.4670000000001"/>
    <n v="2583.8980000000001"/>
    <n v="2544.2489999999998"/>
    <n v="2611.25"/>
    <n v="0.84393655654764987"/>
    <n v="0.95469385815141283"/>
    <n v="0.87833655522735832"/>
    <n v="0.98522179082299921"/>
    <n v="0.97911427438718801"/>
    <n v="0.97419574535442188"/>
    <n v="0.94694723895712951"/>
    <n v="0.97347725408330665"/>
    <n v="0.95469385815141283"/>
  </r>
  <r>
    <x v="6"/>
    <x v="27"/>
    <x v="27"/>
    <x v="0"/>
    <n v="65518.6"/>
    <n v="65518.6"/>
    <n v="65518.6"/>
    <n v="65518.6"/>
    <n v="65518.6"/>
    <n v="65518.6"/>
    <n v="65518.6"/>
    <n v="65518.6"/>
    <n v="65518.6"/>
    <n v="0"/>
    <n v="0"/>
    <n v="0"/>
    <n v="0"/>
    <n v="0"/>
    <n v="0"/>
    <n v="0"/>
    <n v="0"/>
    <n v="57806.7"/>
    <n v="65518.400000000001"/>
    <n v="57806.7"/>
    <n v="65518.400000000001"/>
    <n v="65518.400000000001"/>
    <n v="65518.400000000001"/>
    <n v="65518.400000000001"/>
    <n v="65518.400000000001"/>
    <n v="65518.400000000001"/>
    <n v="0.88229449347208266"/>
    <n v="0.99999694743172174"/>
    <n v="0.88229449347208266"/>
    <n v="0.99999694743172174"/>
    <n v="0.99999694743172174"/>
    <n v="0.99999694743172174"/>
    <n v="0.99999694743172174"/>
    <n v="0.99999694743172174"/>
    <n v="0.99999694743172174"/>
  </r>
  <r>
    <x v="6"/>
    <x v="27"/>
    <x v="27"/>
    <x v="1"/>
    <n v="32208"/>
    <n v="31321.7"/>
    <n v="32016.21"/>
    <n v="30731"/>
    <n v="30446.2"/>
    <n v="31098.98"/>
    <n v="30804.1"/>
    <n v="30447.54"/>
    <n v="31120.69999999999"/>
    <n v="2.7518007948335796E-2"/>
    <n v="5.9547317436661968E-3"/>
    <n v="4.5858171882762047E-2"/>
    <n v="5.4700695479383984E-2"/>
    <n v="3.4433060109289634E-2"/>
    <n v="4.3588549428713409E-2"/>
    <n v="5.4659090909090879E-2"/>
    <n v="3.3758693492300366E-2"/>
    <n v="28903.7"/>
    <n v="30952.099999999991"/>
    <n v="28903.439999999999"/>
    <n v="30590.55"/>
    <n v="30410.06"/>
    <n v="30794.06"/>
    <n v="30621.759999999998"/>
    <n v="30426.69"/>
    <n v="30789.43"/>
    <n v="0.89740747640337803"/>
    <n v="0.98819987420861544"/>
    <n v="0.90277518794385714"/>
    <n v="0.99542969639777423"/>
    <n v="0.99881298815615749"/>
    <n v="0.99019517681930413"/>
    <n v="0.99408065809421475"/>
    <n v="0.99931521561347803"/>
    <n v="0.98935531655778985"/>
  </r>
  <r>
    <x v="6"/>
    <x v="27"/>
    <x v="27"/>
    <x v="2"/>
    <n v="16534.599999999999"/>
    <n v="15825.2"/>
    <n v="16452.740000000002"/>
    <n v="15668.52"/>
    <n v="15389.8"/>
    <n v="15797.78"/>
    <n v="15715.15"/>
    <n v="15435.87"/>
    <n v="15796.58"/>
    <n v="4.290397106673266E-2"/>
    <n v="4.9508303799303856E-3"/>
    <n v="5.2379857994750291E-2"/>
    <n v="6.9236631064555507E-2"/>
    <n v="4.4562311758373226E-2"/>
    <n v="4.9559711151161742E-2"/>
    <n v="6.6450352593954362E-2"/>
    <n v="4.46348868433466E-2"/>
    <n v="14456.4"/>
    <n v="15477.2"/>
    <n v="14455.82"/>
    <n v="15409.8"/>
    <n v="15234.22"/>
    <n v="15495.72"/>
    <n v="15425.76"/>
    <n v="15250.02"/>
    <n v="15474.88"/>
    <n v="0.87431204867369039"/>
    <n v="0.97800975659075395"/>
    <n v="0.87862690348233774"/>
    <n v="0.98348791079182962"/>
    <n v="0.9898907068317977"/>
    <n v="0.98087959194266527"/>
    <n v="0.98158528553656821"/>
    <n v="0.98795986232068544"/>
    <n v="0.9796348323497871"/>
  </r>
  <r>
    <x v="6"/>
    <x v="27"/>
    <x v="27"/>
    <x v="3"/>
    <n v="8295.5400000000027"/>
    <n v="8021.6799999999976"/>
    <n v="8372.1790000000001"/>
    <n v="7935.4730000000009"/>
    <n v="7793.7169999999996"/>
    <n v="8176.0520000000006"/>
    <n v="8018.0209999999988"/>
    <n v="7804.3070000000007"/>
    <n v="8021.6799999999976"/>
    <n v="3.3012920195672014E-2"/>
    <n v="-9.2385788025851692E-3"/>
    <n v="4.3404889856477301E-2"/>
    <n v="6.0493108344966441E-2"/>
    <n v="1.4403884496970909E-2"/>
    <n v="3.3454000583446497E-2"/>
    <n v="5.9216518755861806E-2"/>
    <n v="3.3012920195672014E-2"/>
    <n v="7229.01"/>
    <n v="7743.9900000000007"/>
    <n v="7290.4819999999991"/>
    <n v="7778.7019999999993"/>
    <n v="7640.8220000000001"/>
    <n v="7980.7860000000001"/>
    <n v="7729.0070000000014"/>
    <n v="7632.6610000000001"/>
    <n v="7743.9900000000007"/>
    <n v="0.87143332441287702"/>
    <n v="0.96538256325358318"/>
    <n v="0.87079862960407306"/>
    <n v="0.98024427781431533"/>
    <n v="0.98038227459375293"/>
    <n v="0.97611732410703844"/>
    <n v="0.96395444711357114"/>
    <n v="0.97800624706332018"/>
    <n v="0.96538256325358318"/>
  </r>
  <r>
    <x v="6"/>
    <x v="27"/>
    <x v="27"/>
    <x v="4"/>
    <n v="4172.83"/>
    <n v="4093.3200000000011"/>
    <n v="4429.0300000000007"/>
    <n v="4291.9120000000003"/>
    <n v="3954.9250000000002"/>
    <n v="4281.3009999999986"/>
    <n v="4062.4050000000002"/>
    <n v="3938.2710000000002"/>
    <n v="4093.3200000000011"/>
    <n v="1.9054215005164087E-2"/>
    <n v="-6.1397181289436838E-2"/>
    <n v="-2.8537467378254168E-2"/>
    <n v="5.2219956240728657E-2"/>
    <n v="-2.5994588804240441E-2"/>
    <n v="2.6462856143192923E-2"/>
    <n v="5.6211012670058388E-2"/>
    <n v="1.9054215005164087E-2"/>
    <n v="3732.21"/>
    <n v="3903.7600000000011"/>
    <n v="3958.5830000000001"/>
    <n v="4254.5360000000001"/>
    <n v="3889.1729999999998"/>
    <n v="4220.9750000000004"/>
    <n v="3897.117999999999"/>
    <n v="3828.1320000000001"/>
    <n v="3903.7600000000011"/>
    <n v="0.89440739258488844"/>
    <n v="0.95369040290033524"/>
    <n v="0.89378103106097717"/>
    <n v="0.99129152694649836"/>
    <n v="0.9833746531223726"/>
    <n v="0.98590942332716192"/>
    <n v="0.9593130177813386"/>
    <n v="0.97203366655062584"/>
    <n v="0.953690402900335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D20FF-22F0-4DE0-8F56-A0B005EBB2E7}" name="TablaDinámica1" cacheId="46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46" firstHeaderRow="0" firstDataRow="1" firstDataCol="1"/>
  <pivotFields count="39">
    <pivotField axis="axisRow" showAll="0" defaultSubtotal="0">
      <items count="7">
        <item x="4"/>
        <item x="1"/>
        <item x="2"/>
        <item x="6"/>
        <item x="3"/>
        <item x="5"/>
        <item x="0"/>
      </items>
    </pivotField>
    <pivotField axis="axisRow" showAll="0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axis="axisRow" showAll="0" defaultSubtotal="0">
      <items count="5">
        <item sd="0" x="0"/>
        <item sd="0" x="1"/>
        <item sd="0" x="2"/>
        <item sd="0" x="3"/>
        <item sd="0" x="4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</pivotFields>
  <rowFields count="3">
    <field x="0"/>
    <field x="3"/>
    <field x="1"/>
  </rowFields>
  <rowItems count="4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Promedio de accuracy HEFT_NC" fld="30" subtotal="average" baseField="0" baseItem="0" numFmtId="2"/>
    <dataField name="HEFT_DNC" fld="31" subtotal="average" baseField="1" baseItem="0" numFmtId="2"/>
    <dataField name="GA_NC" fld="32" subtotal="average" baseField="0" baseItem="0" numFmtId="2"/>
    <dataField name="GA_DNC" fld="33" subtotal="average" baseField="0" baseItem="0" numFmtId="2"/>
    <dataField name="HGA_(Ph2)" fld="34" subtotal="average" baseField="0" baseItem="0" numFmtId="2"/>
    <dataField name="HGA_(Ph1)" fld="35" subtotal="average" baseField="0" baseItem="0" numFmtId="2"/>
    <dataField name="HGA^H" fld="36" subtotal="average" baseField="0" baseItem="0" numFmtId="2"/>
    <dataField name="HGA_(Ph2)^H" fld="37" subtotal="average" baseField="0" baseItem="0" numFmtId="2"/>
    <dataField name="HGA_(Ph1)^H" fld="38" subtotal="average" baseField="0" baseItem="0" numFmtId="2"/>
  </dataFields>
  <formats count="39">
    <format dxfId="25">
      <pivotArea field="0" type="button" dataOnly="0" labelOnly="1" outline="0" axis="axisRow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7">
      <pivotArea outline="0" fieldPosition="0">
        <references count="1">
          <reference field="4294967294" count="1">
            <x v="1"/>
          </reference>
        </references>
      </pivotArea>
    </format>
    <format dxfId="28">
      <pivotArea outline="0" fieldPosition="0">
        <references count="1">
          <reference field="4294967294" count="1">
            <x v="2"/>
          </reference>
        </references>
      </pivotArea>
    </format>
    <format dxfId="29">
      <pivotArea outline="0" fieldPosition="0">
        <references count="1">
          <reference field="4294967294" count="1">
            <x v="3"/>
          </reference>
        </references>
      </pivotArea>
    </format>
    <format dxfId="30">
      <pivotArea outline="0" fieldPosition="0">
        <references count="1">
          <reference field="4294967294" count="1">
            <x v="4"/>
          </reference>
        </references>
      </pivotArea>
    </format>
    <format dxfId="31">
      <pivotArea outline="0" fieldPosition="0">
        <references count="1">
          <reference field="4294967294" count="1">
            <x v="5"/>
          </reference>
        </references>
      </pivotArea>
    </format>
    <format dxfId="32">
      <pivotArea outline="0" fieldPosition="0">
        <references count="1">
          <reference field="4294967294" count="1">
            <x v="6"/>
          </reference>
        </references>
      </pivotArea>
    </format>
    <format dxfId="33">
      <pivotArea outline="0" fieldPosition="0">
        <references count="1">
          <reference field="4294967294" count="1">
            <x v="7"/>
          </reference>
        </references>
      </pivotArea>
    </format>
    <format dxfId="34">
      <pivotArea outline="0" fieldPosition="0">
        <references count="1">
          <reference field="4294967294" count="1">
            <x v="8"/>
          </reference>
        </references>
      </pivotArea>
    </format>
    <format dxfId="35">
      <pivotArea outline="0" collapsedLevelsAreSubtotals="1" fieldPosition="0"/>
    </format>
    <format dxfId="36">
      <pivotArea collapsedLevelsAreSubtotals="1" fieldPosition="0">
        <references count="2">
          <reference field="0" count="1" selected="0">
            <x v="6"/>
          </reference>
          <reference field="3" count="1">
            <x v="0"/>
          </reference>
        </references>
      </pivotArea>
    </format>
    <format dxfId="37">
      <pivotArea collapsedLevelsAreSubtotals="1" fieldPosition="0">
        <references count="3">
          <reference field="0" count="1" selected="0">
            <x v="6"/>
          </reference>
          <reference field="1" count="4">
            <x v="0"/>
            <x v="1"/>
            <x v="2"/>
            <x v="3"/>
          </reference>
          <reference field="3" count="1" selected="0">
            <x v="0"/>
          </reference>
        </references>
      </pivotArea>
    </format>
    <format dxfId="38">
      <pivotArea collapsedLevelsAreSubtotals="1" fieldPosition="0">
        <references count="2">
          <reference field="0" count="1" selected="0">
            <x v="6"/>
          </reference>
          <reference field="3" count="1">
            <x v="1"/>
          </reference>
        </references>
      </pivotArea>
    </format>
    <format dxfId="39">
      <pivotArea collapsedLevelsAreSubtotals="1" fieldPosition="0">
        <references count="3">
          <reference field="0" count="1" selected="0">
            <x v="6"/>
          </reference>
          <reference field="1" count="4">
            <x v="0"/>
            <x v="1"/>
            <x v="2"/>
            <x v="3"/>
          </reference>
          <reference field="3" count="1" selected="0">
            <x v="1"/>
          </reference>
        </references>
      </pivotArea>
    </format>
    <format dxfId="40">
      <pivotArea collapsedLevelsAreSubtotals="1" fieldPosition="0">
        <references count="2">
          <reference field="0" count="1" selected="0">
            <x v="6"/>
          </reference>
          <reference field="3" count="1">
            <x v="2"/>
          </reference>
        </references>
      </pivotArea>
    </format>
    <format dxfId="41">
      <pivotArea collapsedLevelsAreSubtotals="1" fieldPosition="0">
        <references count="3">
          <reference field="0" count="1" selected="0">
            <x v="6"/>
          </reference>
          <reference field="1" count="4">
            <x v="0"/>
            <x v="1"/>
            <x v="2"/>
            <x v="3"/>
          </reference>
          <reference field="3" count="1" selected="0">
            <x v="2"/>
          </reference>
        </references>
      </pivotArea>
    </format>
    <format dxfId="42">
      <pivotArea collapsedLevelsAreSubtotals="1" fieldPosition="0">
        <references count="2">
          <reference field="0" count="1" selected="0">
            <x v="6"/>
          </reference>
          <reference field="3" count="1">
            <x v="3"/>
          </reference>
        </references>
      </pivotArea>
    </format>
    <format dxfId="43">
      <pivotArea collapsedLevelsAreSubtotals="1" fieldPosition="0">
        <references count="3">
          <reference field="0" count="1" selected="0">
            <x v="6"/>
          </reference>
          <reference field="1" count="4">
            <x v="0"/>
            <x v="1"/>
            <x v="2"/>
            <x v="3"/>
          </reference>
          <reference field="3" count="1" selected="0">
            <x v="3"/>
          </reference>
        </references>
      </pivotArea>
    </format>
    <format dxfId="44">
      <pivotArea collapsedLevelsAreSubtotals="1" fieldPosition="0">
        <references count="2">
          <reference field="0" count="1" selected="0">
            <x v="6"/>
          </reference>
          <reference field="3" count="1">
            <x v="4"/>
          </reference>
        </references>
      </pivotArea>
    </format>
    <format dxfId="45">
      <pivotArea collapsedLevelsAreSubtotals="1" fieldPosition="0">
        <references count="3">
          <reference field="0" count="1" selected="0">
            <x v="6"/>
          </reference>
          <reference field="1" count="4">
            <x v="0"/>
            <x v="1"/>
            <x v="2"/>
            <x v="3"/>
          </reference>
          <reference field="3" count="1" selected="0">
            <x v="4"/>
          </reference>
        </references>
      </pivotArea>
    </format>
    <format dxfId="46">
      <pivotArea collapsedLevelsAreSubtotals="1" fieldPosition="0">
        <references count="1">
          <reference field="0" count="1">
            <x v="1"/>
          </reference>
        </references>
      </pivotArea>
    </format>
    <format dxfId="47">
      <pivotArea collapsedLevelsAreSubtotals="1" fieldPosition="0">
        <references count="1">
          <reference field="0" count="1">
            <x v="2"/>
          </reference>
        </references>
      </pivotArea>
    </format>
    <format dxfId="48">
      <pivotArea collapsedLevelsAreSubtotals="1" fieldPosition="0">
        <references count="1">
          <reference field="0" count="1">
            <x v="4"/>
          </reference>
        </references>
      </pivotArea>
    </format>
    <format dxfId="49">
      <pivotArea collapsedLevelsAreSubtotals="1" fieldPosition="0">
        <references count="1">
          <reference field="0" count="1">
            <x v="0"/>
          </reference>
        </references>
      </pivotArea>
    </format>
    <format dxfId="50">
      <pivotArea collapsedLevelsAreSubtotals="1" fieldPosition="0">
        <references count="1">
          <reference field="0" count="1">
            <x v="5"/>
          </reference>
        </references>
      </pivotArea>
    </format>
    <format dxfId="51">
      <pivotArea collapsedLevelsAreSubtotals="1" fieldPosition="0">
        <references count="1">
          <reference field="0" count="1">
            <x v="3"/>
          </reference>
        </references>
      </pivotArea>
    </format>
    <format dxfId="52">
      <pivotArea grandRow="1" outline="0" collapsedLevelsAreSubtotals="1" fieldPosition="0"/>
    </format>
    <format dxfId="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>
            <x v="0"/>
          </reference>
        </references>
      </pivotArea>
    </format>
    <format dxfId="54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4">
            <x v="4"/>
            <x v="5"/>
            <x v="6"/>
            <x v="7"/>
          </reference>
          <reference field="3" count="1" selected="0">
            <x v="0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>
            <x v="1"/>
          </reference>
        </references>
      </pivotArea>
    </format>
    <format dxfId="5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4">
            <x v="4"/>
            <x v="5"/>
            <x v="6"/>
            <x v="7"/>
          </reference>
          <reference field="3" count="1" selected="0">
            <x v="1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>
            <x v="2"/>
          </reference>
        </references>
      </pivotArea>
    </format>
    <format dxfId="5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4">
            <x v="4"/>
            <x v="5"/>
            <x v="6"/>
            <x v="7"/>
          </reference>
          <reference field="3" count="1" selected="0">
            <x v="2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>
            <x v="3"/>
          </reference>
        </references>
      </pivotArea>
    </format>
    <format dxfId="6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4">
            <x v="4"/>
            <x v="5"/>
            <x v="6"/>
            <x v="7"/>
          </reference>
          <reference field="3" count="1" selected="0">
            <x v="3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>
            <x v="4"/>
          </reference>
        </references>
      </pivotArea>
    </format>
    <format dxfId="6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4">
            <x v="4"/>
            <x v="5"/>
            <x v="6"/>
            <x v="7"/>
          </reference>
          <reference field="3" count="1" selected="0">
            <x v="4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12C58-7BCA-46CD-85BE-4AB99F964DF3}" name="TablaDinámica1" cacheId="466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38" firstHeaderRow="0" firstDataRow="1" firstDataCol="1"/>
  <pivotFields count="39">
    <pivotField axis="axisRow"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axis="axisRow" showAll="0" defaultSubtotal="0">
      <items count="5">
        <item h="1" x="0"/>
        <item x="1"/>
        <item x="2"/>
        <item x="3"/>
        <item x="4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</pivotFields>
  <rowFields count="2">
    <field x="0"/>
    <field x="3"/>
  </rowFields>
  <rowItems count="35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GA_NC" fld="14" subtotal="average" baseField="0" baseItem="0" numFmtId="10"/>
    <dataField name="HEFT_DNC" fld="13" subtotal="average" baseField="0" baseItem="0" numFmtId="10"/>
    <dataField name="GA_DNC" fld="15" subtotal="average" baseField="0" baseItem="0" numFmtId="10"/>
    <dataField name="HGA_(Ph1)" fld="17" subtotal="average" baseField="0" baseItem="0" numFmtId="10"/>
    <dataField name="HGA_(Ph2)" fld="16" subtotal="average" baseField="0" baseItem="0" numFmtId="10"/>
    <dataField name="GA^H" fld="18" subtotal="average" baseField="0" baseItem="0" numFmtId="10"/>
    <dataField name="HGA_(Ph1)^H" fld="20" subtotal="average" baseField="0" baseItem="0" numFmtId="10"/>
    <dataField name="HGA_(Ph2)^H" fld="1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152CE-F2EF-4C93-AC4E-79131B9E96BD}" name="Tabla13" displayName="Tabla13" ref="A1:AM141" totalsRowShown="0" headerRowDxfId="21" dataDxfId="20" dataCellStyle="Porcentaje">
  <autoFilter ref="A1:AM141" xr:uid="{00A90136-C756-4760-A037-EEE816112286}">
    <filterColumn colId="1">
      <filters>
        <filter val="1000genome-chameleon-2ch-250k-001"/>
        <filter val="cycles-chameleon-1l-1c-9p-001"/>
      </filters>
    </filterColumn>
  </autoFilter>
  <sortState xmlns:xlrd2="http://schemas.microsoft.com/office/spreadsheetml/2017/richdata2" ref="B2:AD141">
    <sortCondition ref="B1:B141"/>
  </sortState>
  <tableColumns count="39">
    <tableColumn id="13" xr3:uid="{685DFCD7-4A3C-48A6-BCD5-5C0FB0829919}" name="Problem" dataDxfId="19" dataCellStyle="Porcentaje">
      <calculatedColumnFormula>LEFT(B2,FIND("-",B2)-1)</calculatedColumnFormula>
    </tableColumn>
    <tableColumn id="1" xr3:uid="{8F26906F-F0D9-4FC0-AB61-C251CCAEF3A2}" name="Benchmark"/>
    <tableColumn id="14" xr3:uid="{8BBA0408-6AB6-44AF-9490-7E235F9484FA}" name="Tasks" dataDxfId="18">
      <calculatedColumnFormula>_xlfn.XLOOKUP(B2,Instances!$B$2:$B$29,Instances!$A$2:$A$29,,0,1)</calculatedColumnFormula>
    </tableColumn>
    <tableColumn id="2" xr3:uid="{29171297-0DB9-45F1-8A27-934CB4EB1B24}" name="Hosts"/>
    <tableColumn id="35" xr3:uid="{F97C3F56-C14F-4974-A89A-63DEF400048A}" name="Real HEFT_NC"/>
    <tableColumn id="34" xr3:uid="{25740883-AFDE-4AAA-913B-510370C8D5C1}" name="Real HEFT_DNC"/>
    <tableColumn id="32" xr3:uid="{DB394570-20D5-4E59-A071-E1E7FEF6EBB5}" name="Real GA_NC"/>
    <tableColumn id="3" xr3:uid="{E4A1EF3F-DD01-4E32-BA32-71741F83514D}" name="Real GA_DNC"/>
    <tableColumn id="4" xr3:uid="{54DFFBEE-AE50-4061-BFB6-C57462DAE9BB}" name="Real HGA_(Ph2)"/>
    <tableColumn id="5" xr3:uid="{767F2232-8CBD-4010-B282-29242773CF66}" name="Real HGA_(Ph1)"/>
    <tableColumn id="6" xr3:uid="{3BADCCAE-A87F-4125-9B5E-6149FD74F44B}" name="Real GA^H"/>
    <tableColumn id="21" xr3:uid="{8CCFCFFB-6997-4223-8E0C-724FBF7C2BB7}" name="Real HGA_(Ph2)^H"/>
    <tableColumn id="40" xr3:uid="{713125D5-3BC9-41BA-942E-E3DF32063944}" name="Real HGA_(Ph1)^H"/>
    <tableColumn id="37" xr3:uid="{6816403D-0C72-4F3D-BA9F-06045222E4DE}" name="HEFT_DNC vs HEFT_NC" dataDxfId="17">
      <calculatedColumnFormula>(($E2-F2)/$E2)</calculatedColumnFormula>
    </tableColumn>
    <tableColumn id="33" xr3:uid="{A3A77DE1-9986-4144-AD89-5CA547794BDA}" name="GA_NC vs HEFT_NC" dataDxfId="16">
      <calculatedColumnFormula>(($E2-G2)/$E2)</calculatedColumnFormula>
    </tableColumn>
    <tableColumn id="7" xr3:uid="{B70C14B8-B3AF-44BF-B7AA-67EF5DD6B2E2}" name="GA_DNC vs HEFT_NC" dataDxfId="15" dataCellStyle="Porcentaje">
      <calculatedColumnFormula>(($E2-H2)/$E2)</calculatedColumnFormula>
    </tableColumn>
    <tableColumn id="8" xr3:uid="{CF4FB184-335E-4293-9A13-9EFE3D031847}" name="HGA_(Ph2) vs HEFT_NC" dataDxfId="14" dataCellStyle="Porcentaje">
      <calculatedColumnFormula>(($E2-I2)/$E2)</calculatedColumnFormula>
    </tableColumn>
    <tableColumn id="9" xr3:uid="{71911C89-E5E8-4919-AF78-4189558361B3}" name="HGA_(Ph1) vs HEFT_NC" dataDxfId="13" dataCellStyle="Porcentaje">
      <calculatedColumnFormula>(($E2-J2)/$E2)</calculatedColumnFormula>
    </tableColumn>
    <tableColumn id="23" xr3:uid="{7DFB318A-3CE4-4D85-B2B9-51A0E89468AA}" name="GA^H vs HEDT_NC" dataDxfId="12" dataCellStyle="Porcentaje">
      <calculatedColumnFormula>(($E2-K2)/$E2)</calculatedColumnFormula>
    </tableColumn>
    <tableColumn id="43" xr3:uid="{EF776431-60EA-4927-BF84-A442458DABE0}" name="HGA_(Ph2)^H vs HEFT_NC" dataDxfId="11" dataCellStyle="Porcentaje">
      <calculatedColumnFormula>(($E2-L2)/$E2)</calculatedColumnFormula>
    </tableColumn>
    <tableColumn id="10" xr3:uid="{14CED3F0-F0EA-46D5-B2A7-AA934564F24C}" name="HGA_(Ph1)^H vs HEFT_NC" dataDxfId="10">
      <calculatedColumnFormula>(($E2-M2)/$E2)</calculatedColumnFormula>
    </tableColumn>
    <tableColumn id="39" xr3:uid="{9E2FD09B-7325-4EA8-9F60-4B8870EAF29E}" name="Calculated HEFT_NC"/>
    <tableColumn id="38" xr3:uid="{4BDC3F77-3E5A-4564-98E5-7E7D51E9B75D}" name="Calculated HEFT_DNC"/>
    <tableColumn id="30" xr3:uid="{939FA4AC-67C3-4AA4-BD7B-ECCA4825C4B0}" name="Calculated GA_NC"/>
    <tableColumn id="11" xr3:uid="{4A48A257-CFE8-4A44-97DF-1E805E993060}" name="Calculated GA_DNC"/>
    <tableColumn id="12" xr3:uid="{39D51E63-FD62-4ED4-825C-29E212D53057}" name="Calculated HGA_(Ph2)"/>
    <tableColumn id="19" xr3:uid="{E57C8C22-B787-47D4-851A-7016B671C280}" name="Calculated HGA_(Ph1)"/>
    <tableColumn id="20" xr3:uid="{DE8B9254-CD9F-465A-B17D-5AF892F3E3DC}" name="Calculated HGA^H"/>
    <tableColumn id="18" xr3:uid="{1EA221B6-2FAE-4D68-9915-38625785358F}" name="Calculated HGA_(Ph2)^H"/>
    <tableColumn id="41" xr3:uid="{6C0D8D2F-3547-4A31-80D6-78F9970D232B}" name="Calculated HGA_(Ph1)^H"/>
    <tableColumn id="48" xr3:uid="{495BA8BB-33EC-4CD5-BD52-0366F3F4C265}" name="accuracy HEFT_NC" dataDxfId="9" dataCellStyle="Porcentaje">
      <calculatedColumnFormula>Tabla13[[#This Row],[Calculated HEFT_NC]]/Tabla13[[#This Row],[Real HEFT_NC]]</calculatedColumnFormula>
    </tableColumn>
    <tableColumn id="55" xr3:uid="{86337AD3-5C3C-4B5B-8096-068C1B151219}" name="accuracy HEFT_DNC" dataDxfId="8" dataCellStyle="Porcentaje">
      <calculatedColumnFormula>Tabla13[[#This Row],[Calculated HEFT_DNC]]/Tabla13[[#This Row],[Real HEFT_DNC]]</calculatedColumnFormula>
    </tableColumn>
    <tableColumn id="56" xr3:uid="{4A6D8EB2-D152-4530-953F-CA5B34A37136}" name="accuracy GA_NC" dataDxfId="7" dataCellStyle="Porcentaje">
      <calculatedColumnFormula>Tabla13[[#This Row],[Calculated GA_NC]]/Tabla13[[#This Row],[Real GA_NC]]</calculatedColumnFormula>
    </tableColumn>
    <tableColumn id="49" xr3:uid="{2D02B2AE-DAA7-41E4-84DE-D4745C32E4CE}" name="accuracy GA_DNC" dataDxfId="6" dataCellStyle="Porcentaje">
      <calculatedColumnFormula>Tabla13[[#This Row],[Calculated GA_DNC]]/Tabla13[[#This Row],[Real GA_DNC]]</calculatedColumnFormula>
    </tableColumn>
    <tableColumn id="50" xr3:uid="{96CE180D-AC90-4890-94F4-9BC43BFFE8DF}" name="accuracy HGA_(Ph2)" dataDxfId="5" dataCellStyle="Porcentaje">
      <calculatedColumnFormula>Tabla13[[#This Row],[Calculated HGA_(Ph2)]]/Tabla13[[#This Row],[Real HGA_(Ph2)]]</calculatedColumnFormula>
    </tableColumn>
    <tableColumn id="51" xr3:uid="{1E0769C5-784F-4FB0-B28D-250FB1C98D61}" name="accuracy HGA_(Ph1)" dataDxfId="4" dataCellStyle="Porcentaje">
      <calculatedColumnFormula>Tabla13[[#This Row],[Calculated HGA_(Ph1)]]/Tabla13[[#This Row],[Real HGA_(Ph1)]]</calculatedColumnFormula>
    </tableColumn>
    <tableColumn id="52" xr3:uid="{F91CEF50-7830-422C-97BE-26146CFCE82E}" name="accuracy HGA^H" dataDxfId="3" dataCellStyle="Porcentaje">
      <calculatedColumnFormula>Tabla13[[#This Row],[Calculated HGA^H]]/Tabla13[[#This Row],[Real GA^H]]</calculatedColumnFormula>
    </tableColumn>
    <tableColumn id="53" xr3:uid="{0880F8EE-19E9-4E11-AB30-86F99E9390F4}" name="accuracy HGA_(Ph2)^H" dataDxfId="2" dataCellStyle="Porcentaje">
      <calculatedColumnFormula>Tabla13[[#This Row],[Calculated HGA_(Ph2)^H]]/Tabla13[[#This Row],[Real HGA_(Ph2)^H]]</calculatedColumnFormula>
    </tableColumn>
    <tableColumn id="54" xr3:uid="{35950B63-B262-49AE-B8CF-20D5E402A8AA}" name="accuracy HGA_(Ph1)^H" dataDxfId="1" dataCellStyle="Porcentaje">
      <calculatedColumnFormula>Tabla13[[#This Row],[Calculated HGA_(Ph1)^H]]/Tabla13[[#This Row],[Real HGA_(Ph1)^H]]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3BFC-110F-46F8-B0F6-93A043F439DC}">
  <dimension ref="A1:B29"/>
  <sheetViews>
    <sheetView workbookViewId="0">
      <selection sqref="A1:B1"/>
    </sheetView>
  </sheetViews>
  <sheetFormatPr defaultColWidth="11.42578125" defaultRowHeight="15"/>
  <cols>
    <col min="2" max="2" width="41.5703125" bestFit="1" customWidth="1"/>
  </cols>
  <sheetData>
    <row r="1" spans="1:2">
      <c r="A1" s="12" t="s">
        <v>0</v>
      </c>
      <c r="B1" s="12" t="s">
        <v>1</v>
      </c>
    </row>
    <row r="2" spans="1:2">
      <c r="A2">
        <v>492</v>
      </c>
      <c r="B2" t="s">
        <v>2</v>
      </c>
    </row>
    <row r="3" spans="1:2">
      <c r="A3">
        <v>738</v>
      </c>
      <c r="B3" t="s">
        <v>3</v>
      </c>
    </row>
    <row r="4" spans="1:2">
      <c r="A4">
        <v>82</v>
      </c>
      <c r="B4" t="s">
        <v>4</v>
      </c>
    </row>
    <row r="5" spans="1:2">
      <c r="A5">
        <v>164</v>
      </c>
      <c r="B5" t="s">
        <v>5</v>
      </c>
    </row>
    <row r="6" spans="1:2">
      <c r="A6">
        <v>67</v>
      </c>
      <c r="B6" t="s">
        <v>6</v>
      </c>
    </row>
    <row r="7" spans="1:2">
      <c r="A7">
        <v>437</v>
      </c>
      <c r="B7" t="s">
        <v>7</v>
      </c>
    </row>
    <row r="8" spans="1:2">
      <c r="A8">
        <v>133</v>
      </c>
      <c r="B8" t="s">
        <v>8</v>
      </c>
    </row>
    <row r="9" spans="1:2">
      <c r="A9">
        <v>1091</v>
      </c>
      <c r="B9" t="s">
        <v>9</v>
      </c>
    </row>
    <row r="10" spans="1:2">
      <c r="A10">
        <v>41</v>
      </c>
      <c r="B10" t="s">
        <v>10</v>
      </c>
    </row>
    <row r="11" spans="1:2">
      <c r="A11">
        <v>125</v>
      </c>
      <c r="B11" t="s">
        <v>11</v>
      </c>
    </row>
    <row r="12" spans="1:2">
      <c r="A12">
        <v>507</v>
      </c>
      <c r="B12" t="s">
        <v>12</v>
      </c>
    </row>
    <row r="13" spans="1:2">
      <c r="A13">
        <v>863</v>
      </c>
      <c r="B13" t="s">
        <v>13</v>
      </c>
    </row>
    <row r="14" spans="1:2">
      <c r="A14">
        <v>58</v>
      </c>
      <c r="B14" t="s">
        <v>14</v>
      </c>
    </row>
    <row r="15" spans="1:2">
      <c r="A15">
        <v>103</v>
      </c>
      <c r="B15" t="s">
        <v>15</v>
      </c>
    </row>
    <row r="16" spans="1:2">
      <c r="A16">
        <v>472</v>
      </c>
      <c r="B16" t="s">
        <v>16</v>
      </c>
    </row>
    <row r="17" spans="1:2">
      <c r="A17">
        <v>1066</v>
      </c>
      <c r="B17" t="s">
        <v>17</v>
      </c>
    </row>
    <row r="18" spans="1:2">
      <c r="A18">
        <v>101</v>
      </c>
      <c r="B18" t="s">
        <v>18</v>
      </c>
    </row>
    <row r="19" spans="1:2">
      <c r="A19">
        <v>501</v>
      </c>
      <c r="B19" t="s">
        <v>19</v>
      </c>
    </row>
    <row r="20" spans="1:2">
      <c r="A20">
        <v>701</v>
      </c>
      <c r="B20" t="s">
        <v>20</v>
      </c>
    </row>
    <row r="21" spans="1:2">
      <c r="A21">
        <v>1001</v>
      </c>
      <c r="B21" t="s">
        <v>21</v>
      </c>
    </row>
    <row r="22" spans="1:2">
      <c r="A22">
        <v>96</v>
      </c>
      <c r="B22" t="s">
        <v>22</v>
      </c>
    </row>
    <row r="23" spans="1:2">
      <c r="A23">
        <v>156</v>
      </c>
      <c r="B23" t="s">
        <v>23</v>
      </c>
    </row>
    <row r="24" spans="1:2">
      <c r="A24">
        <v>256</v>
      </c>
      <c r="B24" t="s">
        <v>24</v>
      </c>
    </row>
    <row r="25" spans="1:2">
      <c r="A25">
        <v>546</v>
      </c>
      <c r="B25" t="s">
        <v>25</v>
      </c>
    </row>
    <row r="26" spans="1:2">
      <c r="A26">
        <v>22</v>
      </c>
      <c r="B26" t="s">
        <v>26</v>
      </c>
    </row>
    <row r="27" spans="1:2">
      <c r="A27">
        <v>42</v>
      </c>
      <c r="B27" t="s">
        <v>27</v>
      </c>
    </row>
    <row r="28" spans="1:2">
      <c r="A28">
        <v>84</v>
      </c>
      <c r="B28" t="s">
        <v>28</v>
      </c>
    </row>
    <row r="29" spans="1:2">
      <c r="A29">
        <v>104</v>
      </c>
      <c r="B29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1B41-274F-4C47-9A7D-3A144956A1DA}">
  <dimension ref="A1:AW166"/>
  <sheetViews>
    <sheetView zoomScale="84" zoomScaleNormal="84" workbookViewId="0">
      <pane xSplit="4" ySplit="1" topLeftCell="E34" activePane="bottomRight" state="frozen"/>
      <selection pane="bottomRight" activeCell="N36" sqref="N36"/>
      <selection pane="bottomLeft" activeCell="A2" sqref="A2"/>
      <selection pane="topRight" activeCell="E1" sqref="E1"/>
    </sheetView>
  </sheetViews>
  <sheetFormatPr defaultColWidth="9.140625" defaultRowHeight="15"/>
  <cols>
    <col min="1" max="1" width="13.42578125" bestFit="1" customWidth="1"/>
    <col min="2" max="2" width="43.140625" bestFit="1" customWidth="1"/>
    <col min="3" max="4" width="11.42578125" bestFit="1" customWidth="1"/>
    <col min="5" max="8" width="12.7109375" customWidth="1"/>
    <col min="9" max="11" width="12.7109375" style="13" customWidth="1"/>
    <col min="12" max="19" width="12.7109375" customWidth="1"/>
    <col min="20" max="21" width="12.7109375" style="13" customWidth="1"/>
    <col min="22" max="22" width="12.5703125" style="13" bestFit="1" customWidth="1"/>
    <col min="23" max="23" width="13" bestFit="1" customWidth="1"/>
    <col min="24" max="25" width="12.5703125" bestFit="1" customWidth="1"/>
    <col min="26" max="27" width="13.28515625" bestFit="1" customWidth="1"/>
    <col min="28" max="28" width="12.5703125" bestFit="1" customWidth="1"/>
    <col min="29" max="30" width="15.5703125" bestFit="1" customWidth="1"/>
    <col min="31" max="31" width="11.7109375" bestFit="1" customWidth="1"/>
    <col min="32" max="32" width="13" bestFit="1" customWidth="1"/>
    <col min="33" max="34" width="11.140625" bestFit="1" customWidth="1"/>
    <col min="35" max="36" width="13.28515625" bestFit="1" customWidth="1"/>
    <col min="37" max="37" width="11.140625" bestFit="1" customWidth="1"/>
    <col min="38" max="39" width="15.5703125" bestFit="1" customWidth="1"/>
    <col min="40" max="40" width="9.28515625" customWidth="1"/>
    <col min="47" max="49" width="9.140625" style="9"/>
  </cols>
  <sheetData>
    <row r="1" spans="1:49" ht="30">
      <c r="A1" s="1" t="s">
        <v>30</v>
      </c>
      <c r="B1" s="1" t="s">
        <v>31</v>
      </c>
      <c r="C1" s="29" t="s">
        <v>0</v>
      </c>
      <c r="D1" s="29" t="s">
        <v>32</v>
      </c>
      <c r="E1" s="18" t="s">
        <v>33</v>
      </c>
      <c r="F1" s="18" t="s">
        <v>34</v>
      </c>
      <c r="G1" s="18" t="s">
        <v>35</v>
      </c>
      <c r="H1" s="18" t="s">
        <v>36</v>
      </c>
      <c r="I1" s="18" t="s">
        <v>37</v>
      </c>
      <c r="J1" s="18" t="s">
        <v>38</v>
      </c>
      <c r="K1" s="18" t="s">
        <v>39</v>
      </c>
      <c r="L1" s="19" t="s">
        <v>40</v>
      </c>
      <c r="M1" s="19" t="s">
        <v>41</v>
      </c>
      <c r="N1" s="19" t="s">
        <v>42</v>
      </c>
      <c r="O1" s="19" t="s">
        <v>43</v>
      </c>
      <c r="P1" s="19" t="s">
        <v>44</v>
      </c>
      <c r="Q1" s="19" t="s">
        <v>45</v>
      </c>
      <c r="R1" s="19" t="s">
        <v>46</v>
      </c>
      <c r="S1" s="20" t="s">
        <v>47</v>
      </c>
      <c r="T1" s="20" t="s">
        <v>48</v>
      </c>
      <c r="U1" s="20" t="s">
        <v>49</v>
      </c>
      <c r="V1" s="19" t="s">
        <v>50</v>
      </c>
      <c r="W1" s="19" t="s">
        <v>51</v>
      </c>
      <c r="X1" s="19" t="s">
        <v>52</v>
      </c>
      <c r="Y1" s="18" t="s">
        <v>53</v>
      </c>
      <c r="Z1" s="18" t="s">
        <v>54</v>
      </c>
      <c r="AA1" s="18" t="s">
        <v>55</v>
      </c>
      <c r="AB1" s="18" t="s">
        <v>56</v>
      </c>
      <c r="AC1" s="18" t="s">
        <v>57</v>
      </c>
      <c r="AD1" s="19" t="s">
        <v>58</v>
      </c>
      <c r="AE1" s="21" t="s">
        <v>59</v>
      </c>
      <c r="AF1" s="21" t="s">
        <v>60</v>
      </c>
      <c r="AG1" s="18" t="s">
        <v>61</v>
      </c>
      <c r="AH1" s="18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U1"/>
      <c r="AV1"/>
      <c r="AW1"/>
    </row>
    <row r="2" spans="1:49">
      <c r="A2" s="6" t="str">
        <f t="shared" ref="A2:A33" si="0">LEFT(B2,FIND("-",B2)-1)</f>
        <v>1000genome</v>
      </c>
      <c r="B2" t="s">
        <v>2</v>
      </c>
      <c r="C2">
        <f>_xlfn.XLOOKUP(B2,Instances!$B$2:$B$29,Instances!$A$2:$A$29,,0,1)</f>
        <v>492</v>
      </c>
      <c r="D2">
        <v>1</v>
      </c>
      <c r="E2">
        <v>66845.399999999994</v>
      </c>
      <c r="F2">
        <v>66845.399999999994</v>
      </c>
      <c r="G2">
        <v>66845.399999999994</v>
      </c>
      <c r="H2">
        <v>66845.399999999994</v>
      </c>
      <c r="I2">
        <v>66845.399999999994</v>
      </c>
      <c r="J2">
        <v>66845.399999999994</v>
      </c>
      <c r="K2">
        <v>66845.399999999994</v>
      </c>
      <c r="L2">
        <v>66845.399999999994</v>
      </c>
      <c r="M2">
        <v>66845.399999999994</v>
      </c>
      <c r="N2" s="13">
        <f t="shared" ref="N2:N33" si="1">(($E2-F2)/$E2)</f>
        <v>0</v>
      </c>
      <c r="O2" s="13">
        <f t="shared" ref="O2:O33" si="2">(($E2-G2)/$E2)</f>
        <v>0</v>
      </c>
      <c r="P2" s="13">
        <f t="shared" ref="P2:P33" si="3">(($E2-H2)/$E2)</f>
        <v>0</v>
      </c>
      <c r="Q2" s="13">
        <f t="shared" ref="Q2:Q33" si="4">(($E2-I2)/$E2)</f>
        <v>0</v>
      </c>
      <c r="R2" s="13">
        <f t="shared" ref="R2:R33" si="5">(($E2-J2)/$E2)</f>
        <v>0</v>
      </c>
      <c r="S2" s="13">
        <f t="shared" ref="S2:S33" si="6">(($E2-K2)/$E2)</f>
        <v>0</v>
      </c>
      <c r="T2" s="13">
        <f t="shared" ref="T2:T33" si="7">(($E2-L2)/$E2)</f>
        <v>0</v>
      </c>
      <c r="U2" s="13">
        <f t="shared" ref="U2:U33" si="8">(($E2-M2)/$E2)</f>
        <v>0</v>
      </c>
      <c r="V2">
        <v>28130.2</v>
      </c>
      <c r="W2">
        <v>66845.300000000017</v>
      </c>
      <c r="X2">
        <v>28130.2</v>
      </c>
      <c r="Y2">
        <v>66845.300000000017</v>
      </c>
      <c r="Z2">
        <v>66845.300000000017</v>
      </c>
      <c r="AA2">
        <v>66845.300000000017</v>
      </c>
      <c r="AB2">
        <v>66845.300000000017</v>
      </c>
      <c r="AC2">
        <v>66845.300000000017</v>
      </c>
      <c r="AD2">
        <v>66845.300000000017</v>
      </c>
      <c r="AE2" s="14">
        <f>Tabla13[[#This Row],[Calculated HEFT_NC]]/Tabla13[[#This Row],[Real HEFT_NC]]</f>
        <v>0.42082476879486103</v>
      </c>
      <c r="AF2" s="14">
        <f>Tabla13[[#This Row],[Calculated HEFT_DNC]]/Tabla13[[#This Row],[Real HEFT_DNC]]</f>
        <v>0.99999850401074752</v>
      </c>
      <c r="AG2" s="15">
        <f>Tabla13[[#This Row],[Calculated GA_NC]]/Tabla13[[#This Row],[Real GA_NC]]</f>
        <v>0.42082476879486103</v>
      </c>
      <c r="AH2" s="15">
        <f>Tabla13[[#This Row],[Calculated GA_DNC]]/Tabla13[[#This Row],[Real GA_DNC]]</f>
        <v>0.99999850401074752</v>
      </c>
      <c r="AI2" s="15">
        <f>Tabla13[[#This Row],[Calculated HGA_(Ph2)]]/Tabla13[[#This Row],[Real HGA_(Ph2)]]</f>
        <v>0.99999850401074752</v>
      </c>
      <c r="AJ2" s="15">
        <f>Tabla13[[#This Row],[Calculated HGA_(Ph1)]]/Tabla13[[#This Row],[Real HGA_(Ph1)]]</f>
        <v>0.99999850401074752</v>
      </c>
      <c r="AK2" s="15">
        <f>Tabla13[[#This Row],[Calculated HGA^H]]/Tabla13[[#This Row],[Real GA^H]]</f>
        <v>0.99999850401074752</v>
      </c>
      <c r="AL2" s="15">
        <f>Tabla13[[#This Row],[Calculated HGA_(Ph2)^H]]/Tabla13[[#This Row],[Real HGA_(Ph2)^H]]</f>
        <v>0.99999850401074752</v>
      </c>
      <c r="AM2" s="15">
        <f>Tabla13[[#This Row],[Calculated HGA_(Ph1)^H]]/Tabla13[[#This Row],[Real HGA_(Ph1)^H]]</f>
        <v>0.99999850401074752</v>
      </c>
      <c r="AU2"/>
      <c r="AV2"/>
      <c r="AW2"/>
    </row>
    <row r="3" spans="1:49">
      <c r="A3" s="6" t="str">
        <f t="shared" si="0"/>
        <v>1000genome</v>
      </c>
      <c r="B3" t="s">
        <v>2</v>
      </c>
      <c r="C3">
        <f>_xlfn.XLOOKUP(B3,Instances!$B$2:$B$29,Instances!$A$2:$A$29,,0,1)</f>
        <v>492</v>
      </c>
      <c r="D3">
        <v>2</v>
      </c>
      <c r="E3">
        <v>33657.099999999991</v>
      </c>
      <c r="F3">
        <v>20714.3</v>
      </c>
      <c r="G3">
        <v>33455.89</v>
      </c>
      <c r="H3">
        <v>20532.599999999999</v>
      </c>
      <c r="I3">
        <v>20119.46</v>
      </c>
      <c r="J3">
        <v>20663.95</v>
      </c>
      <c r="K3">
        <v>20519.09</v>
      </c>
      <c r="L3">
        <v>20132.36</v>
      </c>
      <c r="M3">
        <v>20677.919999999998</v>
      </c>
      <c r="N3" s="13">
        <f t="shared" si="1"/>
        <v>0.38454887676002969</v>
      </c>
      <c r="O3" s="13">
        <f t="shared" si="2"/>
        <v>5.9782334188029241E-3</v>
      </c>
      <c r="P3" s="13">
        <f t="shared" si="3"/>
        <v>0.3899474405103231</v>
      </c>
      <c r="Q3" s="13">
        <f t="shared" si="4"/>
        <v>0.40222241369577283</v>
      </c>
      <c r="R3" s="13">
        <f t="shared" si="5"/>
        <v>0.38604484640685011</v>
      </c>
      <c r="S3" s="13">
        <f t="shared" si="6"/>
        <v>0.39034884170056228</v>
      </c>
      <c r="T3" s="13">
        <f t="shared" si="7"/>
        <v>0.40183913646749109</v>
      </c>
      <c r="U3" s="7">
        <f t="shared" si="8"/>
        <v>0.38562977796661019</v>
      </c>
      <c r="V3">
        <v>14065.5</v>
      </c>
      <c r="W3">
        <v>20713.8</v>
      </c>
      <c r="X3">
        <v>14065.1</v>
      </c>
      <c r="Y3">
        <v>20532.11</v>
      </c>
      <c r="Z3">
        <v>20118.93</v>
      </c>
      <c r="AA3">
        <v>20663.71</v>
      </c>
      <c r="AB3">
        <v>20518.560000000001</v>
      </c>
      <c r="AC3">
        <v>20131.849999999999</v>
      </c>
      <c r="AD3">
        <v>20677.599999999999</v>
      </c>
      <c r="AE3" s="14">
        <f>Tabla13[[#This Row],[Calculated HEFT_NC]]/Tabla13[[#This Row],[Real HEFT_NC]]</f>
        <v>0.41790588018575586</v>
      </c>
      <c r="AF3" s="14">
        <f>Tabla13[[#This Row],[Calculated HEFT_DNC]]/Tabla13[[#This Row],[Real HEFT_DNC]]</f>
        <v>0.9999758620856124</v>
      </c>
      <c r="AG3" s="14">
        <f>Tabla13[[#This Row],[Calculated GA_NC]]/Tabla13[[#This Row],[Real GA_NC]]</f>
        <v>0.42040728852229009</v>
      </c>
      <c r="AH3" s="15">
        <f>Tabla13[[#This Row],[Calculated GA_DNC]]/Tabla13[[#This Row],[Real GA_DNC]]</f>
        <v>0.99997613551133324</v>
      </c>
      <c r="AI3" s="15">
        <f>Tabla13[[#This Row],[Calculated HGA_(Ph2)]]/Tabla13[[#This Row],[Real HGA_(Ph2)]]</f>
        <v>0.99997365734468024</v>
      </c>
      <c r="AJ3" s="15">
        <f>Tabla13[[#This Row],[Calculated HGA_(Ph1)]]/Tabla13[[#This Row],[Real HGA_(Ph1)]]</f>
        <v>0.99998838557003855</v>
      </c>
      <c r="AK3" s="15">
        <f>Tabla13[[#This Row],[Calculated HGA^H]]/Tabla13[[#This Row],[Real GA^H]]</f>
        <v>0.9999741703944961</v>
      </c>
      <c r="AL3" s="15">
        <f>Tabla13[[#This Row],[Calculated HGA_(Ph2)^H]]/Tabla13[[#This Row],[Real HGA_(Ph2)^H]]</f>
        <v>0.9999746676494955</v>
      </c>
      <c r="AM3" s="15">
        <f>Tabla13[[#This Row],[Calculated HGA_(Ph1)^H]]/Tabla13[[#This Row],[Real HGA_(Ph1)^H]]</f>
        <v>0.99998452455566134</v>
      </c>
      <c r="AU3"/>
      <c r="AV3"/>
      <c r="AW3"/>
    </row>
    <row r="4" spans="1:49">
      <c r="A4" s="6" t="str">
        <f t="shared" si="0"/>
        <v>1000genome</v>
      </c>
      <c r="B4" t="s">
        <v>2</v>
      </c>
      <c r="C4">
        <f>_xlfn.XLOOKUP(B4,Instances!$B$2:$B$29,Instances!$A$2:$A$29,,0,1)</f>
        <v>492</v>
      </c>
      <c r="D4">
        <v>4</v>
      </c>
      <c r="E4">
        <v>16727.900000000001</v>
      </c>
      <c r="F4">
        <v>10360</v>
      </c>
      <c r="G4">
        <v>16822.5</v>
      </c>
      <c r="H4">
        <v>10308.77</v>
      </c>
      <c r="I4">
        <v>10076.030000000001</v>
      </c>
      <c r="J4">
        <v>10410.870000000001</v>
      </c>
      <c r="K4">
        <v>10297.89</v>
      </c>
      <c r="L4">
        <v>10083.57</v>
      </c>
      <c r="M4">
        <v>10360</v>
      </c>
      <c r="N4" s="13">
        <f t="shared" si="1"/>
        <v>0.38067539858559657</v>
      </c>
      <c r="O4" s="13">
        <f t="shared" si="2"/>
        <v>-5.655222711756917E-3</v>
      </c>
      <c r="P4" s="13">
        <f t="shared" si="3"/>
        <v>0.38373794678351736</v>
      </c>
      <c r="Q4" s="13">
        <f t="shared" si="4"/>
        <v>0.39765122938324599</v>
      </c>
      <c r="R4" s="13">
        <f t="shared" si="5"/>
        <v>0.37763437131977118</v>
      </c>
      <c r="S4" s="13">
        <f t="shared" si="6"/>
        <v>0.38438835717573644</v>
      </c>
      <c r="T4" s="13">
        <f t="shared" si="7"/>
        <v>0.39720048541657954</v>
      </c>
      <c r="U4" s="7">
        <f t="shared" si="8"/>
        <v>0.38067539858559657</v>
      </c>
      <c r="V4">
        <v>7033.69</v>
      </c>
      <c r="W4">
        <v>10359.9</v>
      </c>
      <c r="X4">
        <v>7034.8180000000011</v>
      </c>
      <c r="Y4">
        <v>10308.530000000001</v>
      </c>
      <c r="Z4">
        <v>10075.790000000001</v>
      </c>
      <c r="AA4">
        <v>10410.629999999999</v>
      </c>
      <c r="AB4">
        <v>10297.620000000001</v>
      </c>
      <c r="AC4">
        <v>10083.27</v>
      </c>
      <c r="AD4">
        <v>10359.9</v>
      </c>
      <c r="AE4" s="14">
        <f>Tabla13[[#This Row],[Calculated HEFT_NC]]/Tabla13[[#This Row],[Real HEFT_NC]]</f>
        <v>0.420476569085181</v>
      </c>
      <c r="AF4" s="14">
        <f>Tabla13[[#This Row],[Calculated HEFT_DNC]]/Tabla13[[#This Row],[Real HEFT_DNC]]</f>
        <v>0.99999034749034743</v>
      </c>
      <c r="AG4" s="14">
        <f>Tabla13[[#This Row],[Calculated GA_NC]]/Tabla13[[#This Row],[Real GA_NC]]</f>
        <v>0.41817910536483882</v>
      </c>
      <c r="AH4" s="15">
        <f>Tabla13[[#This Row],[Calculated GA_DNC]]/Tabla13[[#This Row],[Real GA_DNC]]</f>
        <v>0.99997671885200656</v>
      </c>
      <c r="AI4" s="15">
        <f>Tabla13[[#This Row],[Calculated HGA_(Ph2)]]/Tabla13[[#This Row],[Real HGA_(Ph2)]]</f>
        <v>0.99997618109513375</v>
      </c>
      <c r="AJ4" s="15">
        <f>Tabla13[[#This Row],[Calculated HGA_(Ph1)]]/Tabla13[[#This Row],[Real HGA_(Ph1)]]</f>
        <v>0.99997694717156183</v>
      </c>
      <c r="AK4" s="15">
        <f>Tabla13[[#This Row],[Calculated HGA^H]]/Tabla13[[#This Row],[Real GA^H]]</f>
        <v>0.99997378103669798</v>
      </c>
      <c r="AL4" s="15">
        <f>Tabla13[[#This Row],[Calculated HGA_(Ph2)^H]]/Tabla13[[#This Row],[Real HGA_(Ph2)^H]]</f>
        <v>0.99997024863218098</v>
      </c>
      <c r="AM4" s="15">
        <f>Tabla13[[#This Row],[Calculated HGA_(Ph1)^H]]/Tabla13[[#This Row],[Real HGA_(Ph1)^H]]</f>
        <v>0.99999034749034743</v>
      </c>
      <c r="AU4"/>
      <c r="AV4"/>
      <c r="AW4"/>
    </row>
    <row r="5" spans="1:49">
      <c r="A5" s="6" t="str">
        <f t="shared" si="0"/>
        <v>1000genome</v>
      </c>
      <c r="B5" t="s">
        <v>2</v>
      </c>
      <c r="C5">
        <f>_xlfn.XLOOKUP(B5,Instances!$B$2:$B$29,Instances!$A$2:$A$29,,0,1)</f>
        <v>492</v>
      </c>
      <c r="D5">
        <v>8</v>
      </c>
      <c r="E5">
        <v>8468.880000000001</v>
      </c>
      <c r="F5">
        <v>5166.29</v>
      </c>
      <c r="G5">
        <v>8550.655999999999</v>
      </c>
      <c r="H5">
        <v>5181.9159999999993</v>
      </c>
      <c r="I5">
        <v>5055.027</v>
      </c>
      <c r="J5">
        <v>5307.9089999999997</v>
      </c>
      <c r="K5">
        <v>5162.8980000000001</v>
      </c>
      <c r="L5">
        <v>4868.463999999999</v>
      </c>
      <c r="M5">
        <v>5166.29</v>
      </c>
      <c r="N5" s="13">
        <f t="shared" si="1"/>
        <v>0.38996774071660018</v>
      </c>
      <c r="O5" s="13">
        <f t="shared" si="2"/>
        <v>-9.6560584162248154E-3</v>
      </c>
      <c r="P5" s="13">
        <f t="shared" si="3"/>
        <v>0.38812263250866719</v>
      </c>
      <c r="Q5" s="13">
        <f t="shared" si="4"/>
        <v>0.40310560546376861</v>
      </c>
      <c r="R5" s="13">
        <f t="shared" si="5"/>
        <v>0.37324545866749809</v>
      </c>
      <c r="S5" s="13">
        <f t="shared" si="6"/>
        <v>0.39036826593363</v>
      </c>
      <c r="T5" s="13">
        <f t="shared" si="7"/>
        <v>0.42513484663851675</v>
      </c>
      <c r="U5" s="7">
        <f t="shared" si="8"/>
        <v>0.38996774071660018</v>
      </c>
      <c r="V5">
        <v>3517.61</v>
      </c>
      <c r="W5">
        <v>5166.1200000000008</v>
      </c>
      <c r="X5">
        <v>3537.069</v>
      </c>
      <c r="Y5">
        <v>5181.7730000000001</v>
      </c>
      <c r="Z5">
        <v>5054.8630000000003</v>
      </c>
      <c r="AA5">
        <v>5307.759</v>
      </c>
      <c r="AB5">
        <v>5162.7680000000009</v>
      </c>
      <c r="AC5">
        <v>4868.2830000000004</v>
      </c>
      <c r="AD5">
        <v>5166.1200000000008</v>
      </c>
      <c r="AE5" s="14">
        <f>Tabla13[[#This Row],[Calculated HEFT_NC]]/Tabla13[[#This Row],[Real HEFT_NC]]</f>
        <v>0.41535716647301646</v>
      </c>
      <c r="AF5" s="14">
        <f>Tabla13[[#This Row],[Calculated HEFT_DNC]]/Tabla13[[#This Row],[Real HEFT_DNC]]</f>
        <v>0.99996709437526754</v>
      </c>
      <c r="AG5" s="14">
        <f>Tabla13[[#This Row],[Calculated GA_NC]]/Tabla13[[#This Row],[Real GA_NC]]</f>
        <v>0.41366054253615164</v>
      </c>
      <c r="AH5" s="15">
        <f>Tabla13[[#This Row],[Calculated GA_DNC]]/Tabla13[[#This Row],[Real GA_DNC]]</f>
        <v>0.99997240402970655</v>
      </c>
      <c r="AI5" s="15">
        <f>Tabla13[[#This Row],[Calculated HGA_(Ph2)]]/Tabla13[[#This Row],[Real HGA_(Ph2)]]</f>
        <v>0.9999675570476676</v>
      </c>
      <c r="AJ5" s="15">
        <f>Tabla13[[#This Row],[Calculated HGA_(Ph1)]]/Tabla13[[#This Row],[Real HGA_(Ph1)]]</f>
        <v>0.99997174028416846</v>
      </c>
      <c r="AK5" s="15">
        <f>Tabla13[[#This Row],[Calculated HGA^H]]/Tabla13[[#This Row],[Real GA^H]]</f>
        <v>0.99997482034314855</v>
      </c>
      <c r="AL5" s="15">
        <f>Tabla13[[#This Row],[Calculated HGA_(Ph2)^H]]/Tabla13[[#This Row],[Real HGA_(Ph2)^H]]</f>
        <v>0.99996282194959263</v>
      </c>
      <c r="AM5" s="15">
        <f>Tabla13[[#This Row],[Calculated HGA_(Ph1)^H]]/Tabla13[[#This Row],[Real HGA_(Ph1)^H]]</f>
        <v>0.99996709437526754</v>
      </c>
      <c r="AU5"/>
      <c r="AV5"/>
      <c r="AW5"/>
    </row>
    <row r="6" spans="1:49">
      <c r="A6" s="6" t="str">
        <f t="shared" si="0"/>
        <v>1000genome</v>
      </c>
      <c r="B6" t="s">
        <v>2</v>
      </c>
      <c r="C6">
        <f>_xlfn.XLOOKUP(B6,Instances!$B$2:$B$29,Instances!$A$2:$A$29,,0,1)</f>
        <v>492</v>
      </c>
      <c r="D6">
        <v>16</v>
      </c>
      <c r="E6">
        <v>4323.6200000000008</v>
      </c>
      <c r="F6">
        <v>2593.33</v>
      </c>
      <c r="G6">
        <v>4414.2459999999992</v>
      </c>
      <c r="H6">
        <v>2661.3220000000001</v>
      </c>
      <c r="I6">
        <v>2557.4520000000002</v>
      </c>
      <c r="J6">
        <v>2782.4850000000001</v>
      </c>
      <c r="K6">
        <v>2590.886</v>
      </c>
      <c r="L6">
        <v>2430.0419999999999</v>
      </c>
      <c r="M6">
        <v>2593.33</v>
      </c>
      <c r="N6" s="13">
        <f t="shared" si="1"/>
        <v>0.40019474421896478</v>
      </c>
      <c r="O6" s="13">
        <f t="shared" si="2"/>
        <v>-2.0960676470179702E-2</v>
      </c>
      <c r="P6" s="13">
        <f t="shared" si="3"/>
        <v>0.38446903289373263</v>
      </c>
      <c r="Q6" s="13">
        <f t="shared" si="4"/>
        <v>0.40849288327836403</v>
      </c>
      <c r="R6" s="13">
        <f t="shared" si="5"/>
        <v>0.35644552481485431</v>
      </c>
      <c r="S6" s="13">
        <f t="shared" si="6"/>
        <v>0.40076001128683847</v>
      </c>
      <c r="T6" s="13">
        <f t="shared" si="7"/>
        <v>0.43796124543785081</v>
      </c>
      <c r="U6" s="7">
        <f t="shared" si="8"/>
        <v>0.40019474421896478</v>
      </c>
      <c r="V6">
        <v>1759.38</v>
      </c>
      <c r="W6">
        <v>2593.23</v>
      </c>
      <c r="X6">
        <v>1827.018</v>
      </c>
      <c r="Y6">
        <v>2661.2420000000002</v>
      </c>
      <c r="Z6">
        <v>2557.320999999999</v>
      </c>
      <c r="AA6">
        <v>2782.3229999999999</v>
      </c>
      <c r="AB6">
        <v>2590.846</v>
      </c>
      <c r="AC6">
        <v>2429.9059999999999</v>
      </c>
      <c r="AD6">
        <v>2593.23</v>
      </c>
      <c r="AE6" s="14">
        <f>Tabla13[[#This Row],[Calculated HEFT_NC]]/Tabla13[[#This Row],[Real HEFT_NC]]</f>
        <v>0.40692290256775565</v>
      </c>
      <c r="AF6" s="14">
        <f>Tabla13[[#This Row],[Calculated HEFT_DNC]]/Tabla13[[#This Row],[Real HEFT_DNC]]</f>
        <v>0.99996143953912542</v>
      </c>
      <c r="AG6" s="14">
        <f>Tabla13[[#This Row],[Calculated GA_NC]]/Tabla13[[#This Row],[Real GA_NC]]</f>
        <v>0.41389129649774853</v>
      </c>
      <c r="AH6" s="15">
        <f>Tabla13[[#This Row],[Calculated GA_DNC]]/Tabla13[[#This Row],[Real GA_DNC]]</f>
        <v>0.99996993975174742</v>
      </c>
      <c r="AI6" s="15">
        <f>Tabla13[[#This Row],[Calculated HGA_(Ph2)]]/Tabla13[[#This Row],[Real HGA_(Ph2)]]</f>
        <v>0.99994877714224895</v>
      </c>
      <c r="AJ6" s="15">
        <f>Tabla13[[#This Row],[Calculated HGA_(Ph1)]]/Tabla13[[#This Row],[Real HGA_(Ph1)]]</f>
        <v>0.9999417786618795</v>
      </c>
      <c r="AK6" s="15">
        <f>Tabla13[[#This Row],[Calculated HGA^H]]/Tabla13[[#This Row],[Real GA^H]]</f>
        <v>0.99998456126591451</v>
      </c>
      <c r="AL6" s="15">
        <f>Tabla13[[#This Row],[Calculated HGA_(Ph2)^H]]/Tabla13[[#This Row],[Real HGA_(Ph2)^H]]</f>
        <v>0.99994403388912623</v>
      </c>
      <c r="AM6" s="15">
        <f>Tabla13[[#This Row],[Calculated HGA_(Ph1)^H]]/Tabla13[[#This Row],[Real HGA_(Ph1)^H]]</f>
        <v>0.99996143953912542</v>
      </c>
      <c r="AU6"/>
      <c r="AV6"/>
      <c r="AW6"/>
    </row>
    <row r="7" spans="1:49">
      <c r="A7" s="6" t="str">
        <f t="shared" si="0"/>
        <v>1000genome</v>
      </c>
      <c r="B7" t="s">
        <v>3</v>
      </c>
      <c r="C7">
        <f>_xlfn.XLOOKUP(B7,Instances!$B$2:$B$29,Instances!$A$2:$A$29,,0,1)</f>
        <v>738</v>
      </c>
      <c r="D7">
        <v>1</v>
      </c>
      <c r="E7">
        <v>100691</v>
      </c>
      <c r="F7">
        <v>100691</v>
      </c>
      <c r="G7">
        <v>100691</v>
      </c>
      <c r="H7">
        <v>100691</v>
      </c>
      <c r="I7">
        <v>100691</v>
      </c>
      <c r="J7">
        <v>100691</v>
      </c>
      <c r="K7">
        <v>100691</v>
      </c>
      <c r="L7">
        <v>100691</v>
      </c>
      <c r="M7">
        <v>100691</v>
      </c>
      <c r="N7" s="13">
        <f t="shared" si="1"/>
        <v>0</v>
      </c>
      <c r="O7" s="13">
        <f t="shared" si="2"/>
        <v>0</v>
      </c>
      <c r="P7" s="13">
        <f t="shared" si="3"/>
        <v>0</v>
      </c>
      <c r="Q7" s="13">
        <f t="shared" si="4"/>
        <v>0</v>
      </c>
      <c r="R7" s="13">
        <f t="shared" si="5"/>
        <v>0</v>
      </c>
      <c r="S7" s="13">
        <f t="shared" si="6"/>
        <v>0</v>
      </c>
      <c r="T7" s="13">
        <f t="shared" si="7"/>
        <v>0</v>
      </c>
      <c r="U7" s="7">
        <f t="shared" si="8"/>
        <v>0</v>
      </c>
      <c r="V7">
        <v>42669.2</v>
      </c>
      <c r="W7">
        <v>100691</v>
      </c>
      <c r="X7">
        <v>42669.2</v>
      </c>
      <c r="Y7">
        <v>100691</v>
      </c>
      <c r="Z7">
        <v>100691</v>
      </c>
      <c r="AA7">
        <v>100691</v>
      </c>
      <c r="AB7">
        <v>100691</v>
      </c>
      <c r="AC7">
        <v>100691</v>
      </c>
      <c r="AD7">
        <v>100691</v>
      </c>
      <c r="AE7" s="14">
        <f>Tabla13[[#This Row],[Calculated HEFT_NC]]/Tabla13[[#This Row],[Real HEFT_NC]]</f>
        <v>0.42376379219592614</v>
      </c>
      <c r="AF7" s="14">
        <f>Tabla13[[#This Row],[Calculated HEFT_DNC]]/Tabla13[[#This Row],[Real HEFT_DNC]]</f>
        <v>1</v>
      </c>
      <c r="AG7" s="14">
        <f>Tabla13[[#This Row],[Calculated GA_NC]]/Tabla13[[#This Row],[Real GA_NC]]</f>
        <v>0.42376379219592614</v>
      </c>
      <c r="AH7" s="15">
        <f>Tabla13[[#This Row],[Calculated GA_DNC]]/Tabla13[[#This Row],[Real GA_DNC]]</f>
        <v>1</v>
      </c>
      <c r="AI7" s="15">
        <f>Tabla13[[#This Row],[Calculated HGA_(Ph2)]]/Tabla13[[#This Row],[Real HGA_(Ph2)]]</f>
        <v>1</v>
      </c>
      <c r="AJ7" s="15">
        <f>Tabla13[[#This Row],[Calculated HGA_(Ph1)]]/Tabla13[[#This Row],[Real HGA_(Ph1)]]</f>
        <v>1</v>
      </c>
      <c r="AK7" s="15">
        <f>Tabla13[[#This Row],[Calculated HGA^H]]/Tabla13[[#This Row],[Real GA^H]]</f>
        <v>1</v>
      </c>
      <c r="AL7" s="15">
        <f>Tabla13[[#This Row],[Calculated HGA_(Ph2)^H]]/Tabla13[[#This Row],[Real HGA_(Ph2)^H]]</f>
        <v>1</v>
      </c>
      <c r="AM7" s="15">
        <f>Tabla13[[#This Row],[Calculated HGA_(Ph1)^H]]/Tabla13[[#This Row],[Real HGA_(Ph1)^H]]</f>
        <v>1</v>
      </c>
      <c r="AU7"/>
      <c r="AV7"/>
      <c r="AW7"/>
    </row>
    <row r="8" spans="1:49">
      <c r="A8" s="6" t="str">
        <f t="shared" si="0"/>
        <v>1000genome</v>
      </c>
      <c r="B8" t="s">
        <v>3</v>
      </c>
      <c r="C8">
        <f>_xlfn.XLOOKUP(B8,Instances!$B$2:$B$29,Instances!$A$2:$A$29,,0,1)</f>
        <v>738</v>
      </c>
      <c r="D8">
        <v>2</v>
      </c>
      <c r="E8">
        <v>50723.7</v>
      </c>
      <c r="F8">
        <v>31294.7</v>
      </c>
      <c r="G8">
        <v>50351.34</v>
      </c>
      <c r="H8">
        <v>31134.25</v>
      </c>
      <c r="I8">
        <v>30551.029999999992</v>
      </c>
      <c r="J8">
        <v>31305.98</v>
      </c>
      <c r="K8">
        <v>30955.250000000011</v>
      </c>
      <c r="L8">
        <v>30508.33</v>
      </c>
      <c r="M8">
        <v>31282.42</v>
      </c>
      <c r="N8" s="13">
        <f t="shared" si="1"/>
        <v>0.38303593783576506</v>
      </c>
      <c r="O8" s="13">
        <f t="shared" si="2"/>
        <v>7.3409471312226946E-3</v>
      </c>
      <c r="P8" s="13">
        <f t="shared" si="3"/>
        <v>0.38619915345292238</v>
      </c>
      <c r="Q8" s="13">
        <f t="shared" si="4"/>
        <v>0.39769713171554927</v>
      </c>
      <c r="R8" s="13">
        <f t="shared" si="5"/>
        <v>0.38281355658203164</v>
      </c>
      <c r="S8" s="13">
        <f t="shared" si="6"/>
        <v>0.38972807583043012</v>
      </c>
      <c r="T8" s="13">
        <f t="shared" si="7"/>
        <v>0.39853894727711103</v>
      </c>
      <c r="U8" s="7">
        <f t="shared" si="8"/>
        <v>0.38327803373965225</v>
      </c>
      <c r="V8">
        <v>21334.6</v>
      </c>
      <c r="W8">
        <v>31294.2</v>
      </c>
      <c r="X8">
        <v>21334.6</v>
      </c>
      <c r="Y8">
        <v>31133.59</v>
      </c>
      <c r="Z8">
        <v>30550.34</v>
      </c>
      <c r="AA8">
        <v>31305.42</v>
      </c>
      <c r="AB8">
        <v>30954.57</v>
      </c>
      <c r="AC8">
        <v>30507.61</v>
      </c>
      <c r="AD8">
        <v>31282</v>
      </c>
      <c r="AE8" s="14">
        <f>Tabla13[[#This Row],[Calculated HEFT_NC]]/Tabla13[[#This Row],[Real HEFT_NC]]</f>
        <v>0.42060417516860954</v>
      </c>
      <c r="AF8" s="14">
        <f>Tabla13[[#This Row],[Calculated HEFT_DNC]]/Tabla13[[#This Row],[Real HEFT_DNC]]</f>
        <v>0.99998402285371002</v>
      </c>
      <c r="AG8" s="14">
        <f>Tabla13[[#This Row],[Calculated GA_NC]]/Tabla13[[#This Row],[Real GA_NC]]</f>
        <v>0.42371464195391823</v>
      </c>
      <c r="AH8" s="15">
        <f>Tabla13[[#This Row],[Calculated GA_DNC]]/Tabla13[[#This Row],[Real GA_DNC]]</f>
        <v>0.99997880148068441</v>
      </c>
      <c r="AI8" s="15">
        <f>Tabla13[[#This Row],[Calculated HGA_(Ph2)]]/Tabla13[[#This Row],[Real HGA_(Ph2)]]</f>
        <v>0.99997741483675051</v>
      </c>
      <c r="AJ8" s="15">
        <f>Tabla13[[#This Row],[Calculated HGA_(Ph1)]]/Tabla13[[#This Row],[Real HGA_(Ph1)]]</f>
        <v>0.99998211204376919</v>
      </c>
      <c r="AK8" s="15">
        <f>Tabla13[[#This Row],[Calculated HGA^H]]/Tabla13[[#This Row],[Real GA^H]]</f>
        <v>0.99997803280542041</v>
      </c>
      <c r="AL8" s="15">
        <f>Tabla13[[#This Row],[Calculated HGA_(Ph2)^H]]/Tabla13[[#This Row],[Real HGA_(Ph2)^H]]</f>
        <v>0.99997639988816167</v>
      </c>
      <c r="AM8" s="15">
        <f>Tabla13[[#This Row],[Calculated HGA_(Ph1)^H]]/Tabla13[[#This Row],[Real HGA_(Ph1)^H]]</f>
        <v>0.99998657392874346</v>
      </c>
      <c r="AU8"/>
      <c r="AV8"/>
      <c r="AW8"/>
    </row>
    <row r="9" spans="1:49">
      <c r="A9" s="6" t="str">
        <f t="shared" si="0"/>
        <v>1000genome</v>
      </c>
      <c r="B9" t="s">
        <v>3</v>
      </c>
      <c r="C9">
        <f>_xlfn.XLOOKUP(B9,Instances!$B$2:$B$29,Instances!$A$2:$A$29,,0,1)</f>
        <v>738</v>
      </c>
      <c r="D9">
        <v>4</v>
      </c>
      <c r="E9">
        <v>25130.9</v>
      </c>
      <c r="F9">
        <v>15624.1</v>
      </c>
      <c r="G9">
        <v>25323.360000000001</v>
      </c>
      <c r="H9">
        <v>15601.9</v>
      </c>
      <c r="I9">
        <v>15243.62</v>
      </c>
      <c r="J9">
        <v>15792.65</v>
      </c>
      <c r="K9">
        <v>15570.02</v>
      </c>
      <c r="L9">
        <v>15249.72</v>
      </c>
      <c r="M9">
        <v>15624.1</v>
      </c>
      <c r="N9" s="13">
        <f t="shared" si="1"/>
        <v>0.37829126692637355</v>
      </c>
      <c r="O9" s="13">
        <f t="shared" si="2"/>
        <v>-7.6583011352557651E-3</v>
      </c>
      <c r="P9" s="13">
        <f t="shared" si="3"/>
        <v>0.37917464157670444</v>
      </c>
      <c r="Q9" s="13">
        <f t="shared" si="4"/>
        <v>0.39343119426681894</v>
      </c>
      <c r="R9" s="13">
        <f t="shared" si="5"/>
        <v>0.37158438416451467</v>
      </c>
      <c r="S9" s="13">
        <f t="shared" si="6"/>
        <v>0.38044319940790028</v>
      </c>
      <c r="T9" s="13">
        <f t="shared" si="7"/>
        <v>0.39318846519623257</v>
      </c>
      <c r="U9" s="7">
        <f t="shared" si="8"/>
        <v>0.37829126692637355</v>
      </c>
      <c r="V9">
        <v>10667.3</v>
      </c>
      <c r="W9">
        <v>15623.8</v>
      </c>
      <c r="X9">
        <v>10669</v>
      </c>
      <c r="Y9">
        <v>15601.52</v>
      </c>
      <c r="Z9">
        <v>15243.2</v>
      </c>
      <c r="AA9">
        <v>15792.23</v>
      </c>
      <c r="AB9">
        <v>15569.65</v>
      </c>
      <c r="AC9">
        <v>15249.31</v>
      </c>
      <c r="AD9">
        <v>15623.8</v>
      </c>
      <c r="AE9" s="14">
        <f>Tabla13[[#This Row],[Calculated HEFT_NC]]/Tabla13[[#This Row],[Real HEFT_NC]]</f>
        <v>0.424469477814165</v>
      </c>
      <c r="AF9" s="14">
        <f>Tabla13[[#This Row],[Calculated HEFT_DNC]]/Tabla13[[#This Row],[Real HEFT_DNC]]</f>
        <v>0.99998079889401625</v>
      </c>
      <c r="AG9" s="14">
        <f>Tabla13[[#This Row],[Calculated GA_NC]]/Tabla13[[#This Row],[Real GA_NC]]</f>
        <v>0.42131060017312078</v>
      </c>
      <c r="AH9" s="15">
        <f>Tabla13[[#This Row],[Calculated GA_DNC]]/Tabla13[[#This Row],[Real GA_DNC]]</f>
        <v>0.99997564399207794</v>
      </c>
      <c r="AI9" s="15">
        <f>Tabla13[[#This Row],[Calculated HGA_(Ph2)]]/Tabla13[[#This Row],[Real HGA_(Ph2)]]</f>
        <v>0.99997244748950709</v>
      </c>
      <c r="AJ9" s="15">
        <f>Tabla13[[#This Row],[Calculated HGA_(Ph1)]]/Tabla13[[#This Row],[Real HGA_(Ph1)]]</f>
        <v>0.99997340534995705</v>
      </c>
      <c r="AK9" s="15">
        <f>Tabla13[[#This Row],[Calculated HGA^H]]/Tabla13[[#This Row],[Real GA^H]]</f>
        <v>0.99997623638248367</v>
      </c>
      <c r="AL9" s="15">
        <f>Tabla13[[#This Row],[Calculated HGA_(Ph2)^H]]/Tabla13[[#This Row],[Real HGA_(Ph2)^H]]</f>
        <v>0.99997311426045854</v>
      </c>
      <c r="AM9" s="15">
        <f>Tabla13[[#This Row],[Calculated HGA_(Ph1)^H]]/Tabla13[[#This Row],[Real HGA_(Ph1)^H]]</f>
        <v>0.99998079889401625</v>
      </c>
      <c r="AU9"/>
      <c r="AV9"/>
      <c r="AW9"/>
    </row>
    <row r="10" spans="1:49">
      <c r="A10" s="6" t="str">
        <f t="shared" si="0"/>
        <v>1000genome</v>
      </c>
      <c r="B10" t="s">
        <v>3</v>
      </c>
      <c r="C10">
        <f>_xlfn.XLOOKUP(B10,Instances!$B$2:$B$29,Instances!$A$2:$A$29,,0,1)</f>
        <v>738</v>
      </c>
      <c r="D10">
        <v>8</v>
      </c>
      <c r="E10">
        <v>12792.1</v>
      </c>
      <c r="F10">
        <v>7800.3500000000013</v>
      </c>
      <c r="G10">
        <v>12882.84</v>
      </c>
      <c r="H10">
        <v>7843.7709999999988</v>
      </c>
      <c r="I10">
        <v>7641.8190000000004</v>
      </c>
      <c r="J10">
        <v>8055.387999999999</v>
      </c>
      <c r="K10">
        <v>7797.1759999999986</v>
      </c>
      <c r="L10">
        <v>7283.6370000000006</v>
      </c>
      <c r="M10">
        <v>7800.3500000000013</v>
      </c>
      <c r="N10" s="13">
        <f t="shared" si="1"/>
        <v>0.39022130846381742</v>
      </c>
      <c r="O10" s="13">
        <f t="shared" si="2"/>
        <v>-7.0934404827979599E-3</v>
      </c>
      <c r="P10" s="13">
        <f t="shared" si="3"/>
        <v>0.38682694788189598</v>
      </c>
      <c r="Q10" s="13">
        <f t="shared" si="4"/>
        <v>0.40261419157136041</v>
      </c>
      <c r="R10" s="13">
        <f t="shared" si="5"/>
        <v>0.3702841597548488</v>
      </c>
      <c r="S10" s="13">
        <f t="shared" si="6"/>
        <v>0.39046943035154524</v>
      </c>
      <c r="T10" s="13">
        <f t="shared" si="7"/>
        <v>0.43061444172575258</v>
      </c>
      <c r="U10" s="7">
        <f t="shared" si="8"/>
        <v>0.39022130846381742</v>
      </c>
      <c r="V10">
        <v>5334.82</v>
      </c>
      <c r="W10">
        <v>7800.0899999999992</v>
      </c>
      <c r="X10">
        <v>5366.1799999999994</v>
      </c>
      <c r="Y10">
        <v>7843.5910000000003</v>
      </c>
      <c r="Z10">
        <v>7641.567</v>
      </c>
      <c r="AA10">
        <v>8055.1390000000001</v>
      </c>
      <c r="AB10">
        <v>7796.9739999999993</v>
      </c>
      <c r="AC10">
        <v>7283.375</v>
      </c>
      <c r="AD10">
        <v>7800.0899999999992</v>
      </c>
      <c r="AE10" s="14">
        <f>Tabla13[[#This Row],[Calculated HEFT_NC]]/Tabla13[[#This Row],[Real HEFT_NC]]</f>
        <v>0.41704020450121554</v>
      </c>
      <c r="AF10" s="14">
        <f>Tabla13[[#This Row],[Calculated HEFT_DNC]]/Tabla13[[#This Row],[Real HEFT_DNC]]</f>
        <v>0.99996666816232582</v>
      </c>
      <c r="AG10" s="14">
        <f>Tabla13[[#This Row],[Calculated GA_NC]]/Tabla13[[#This Row],[Real GA_NC]]</f>
        <v>0.41653703686454224</v>
      </c>
      <c r="AH10" s="15">
        <f>Tabla13[[#This Row],[Calculated GA_DNC]]/Tabla13[[#This Row],[Real GA_DNC]]</f>
        <v>0.99997705185426777</v>
      </c>
      <c r="AI10" s="15">
        <f>Tabla13[[#This Row],[Calculated HGA_(Ph2)]]/Tabla13[[#This Row],[Real HGA_(Ph2)]]</f>
        <v>0.99996702355813449</v>
      </c>
      <c r="AJ10" s="15">
        <f>Tabla13[[#This Row],[Calculated HGA_(Ph1)]]/Tabla13[[#This Row],[Real HGA_(Ph1)]]</f>
        <v>0.99996908901222403</v>
      </c>
      <c r="AK10" s="15">
        <f>Tabla13[[#This Row],[Calculated HGA^H]]/Tabla13[[#This Row],[Real GA^H]]</f>
        <v>0.99997409318450692</v>
      </c>
      <c r="AL10" s="15">
        <f>Tabla13[[#This Row],[Calculated HGA_(Ph2)^H]]/Tabla13[[#This Row],[Real HGA_(Ph2)^H]]</f>
        <v>0.99996402895970782</v>
      </c>
      <c r="AM10" s="15">
        <f>Tabla13[[#This Row],[Calculated HGA_(Ph1)^H]]/Tabla13[[#This Row],[Real HGA_(Ph1)^H]]</f>
        <v>0.99996666816232582</v>
      </c>
      <c r="AU10"/>
      <c r="AV10"/>
      <c r="AW10"/>
    </row>
    <row r="11" spans="1:49">
      <c r="A11" s="6" t="str">
        <f t="shared" si="0"/>
        <v>1000genome</v>
      </c>
      <c r="B11" t="s">
        <v>3</v>
      </c>
      <c r="C11">
        <f>_xlfn.XLOOKUP(B11,Instances!$B$2:$B$29,Instances!$A$2:$A$29,,0,1)</f>
        <v>738</v>
      </c>
      <c r="D11">
        <v>16</v>
      </c>
      <c r="E11">
        <v>6398.82</v>
      </c>
      <c r="F11">
        <v>3895.25</v>
      </c>
      <c r="G11">
        <v>6585.1460000000006</v>
      </c>
      <c r="H11">
        <v>3992.5250000000001</v>
      </c>
      <c r="I11">
        <v>3850.3049999999998</v>
      </c>
      <c r="J11">
        <v>4171.22</v>
      </c>
      <c r="K11">
        <v>3893.1260000000002</v>
      </c>
      <c r="L11">
        <v>3613.712</v>
      </c>
      <c r="M11">
        <v>3895.25</v>
      </c>
      <c r="N11" s="13">
        <f t="shared" si="1"/>
        <v>0.39125495013143047</v>
      </c>
      <c r="O11" s="13">
        <f t="shared" si="2"/>
        <v>-2.9118806279908004E-2</v>
      </c>
      <c r="P11" s="13">
        <f t="shared" si="3"/>
        <v>0.37605292850869376</v>
      </c>
      <c r="Q11" s="13">
        <f t="shared" si="4"/>
        <v>0.39827890142244976</v>
      </c>
      <c r="R11" s="13">
        <f t="shared" si="5"/>
        <v>0.34812668585770495</v>
      </c>
      <c r="S11" s="13">
        <f t="shared" si="6"/>
        <v>0.39158688633216743</v>
      </c>
      <c r="T11" s="13">
        <f t="shared" si="7"/>
        <v>0.43525337484098631</v>
      </c>
      <c r="U11" s="7">
        <f t="shared" si="8"/>
        <v>0.39125495013143047</v>
      </c>
      <c r="V11">
        <v>2667.63</v>
      </c>
      <c r="W11">
        <v>3895.15</v>
      </c>
      <c r="X11">
        <v>2742.078</v>
      </c>
      <c r="Y11">
        <v>3992.4009999999998</v>
      </c>
      <c r="Z11">
        <v>3850.14</v>
      </c>
      <c r="AA11">
        <v>4171.003999999999</v>
      </c>
      <c r="AB11">
        <v>3893.009</v>
      </c>
      <c r="AC11">
        <v>3613.5789999999988</v>
      </c>
      <c r="AD11">
        <v>3895.15</v>
      </c>
      <c r="AE11" s="14">
        <f>Tabla13[[#This Row],[Calculated HEFT_NC]]/Tabla13[[#This Row],[Real HEFT_NC]]</f>
        <v>0.41689405234090038</v>
      </c>
      <c r="AF11" s="14">
        <f>Tabla13[[#This Row],[Calculated HEFT_DNC]]/Tabla13[[#This Row],[Real HEFT_DNC]]</f>
        <v>0.99997432770682249</v>
      </c>
      <c r="AG11" s="14">
        <f>Tabla13[[#This Row],[Calculated GA_NC]]/Tabla13[[#This Row],[Real GA_NC]]</f>
        <v>0.4164035239309804</v>
      </c>
      <c r="AH11" s="15">
        <f>Tabla13[[#This Row],[Calculated GA_DNC]]/Tabla13[[#This Row],[Real GA_DNC]]</f>
        <v>0.99996894196028818</v>
      </c>
      <c r="AI11" s="15">
        <f>Tabla13[[#This Row],[Calculated HGA_(Ph2)]]/Tabla13[[#This Row],[Real HGA_(Ph2)]]</f>
        <v>0.99995714625205012</v>
      </c>
      <c r="AJ11" s="15">
        <f>Tabla13[[#This Row],[Calculated HGA_(Ph1)]]/Tabla13[[#This Row],[Real HGA_(Ph1)]]</f>
        <v>0.99994821658891131</v>
      </c>
      <c r="AK11" s="15">
        <f>Tabla13[[#This Row],[Calculated HGA^H]]/Tabla13[[#This Row],[Real GA^H]]</f>
        <v>0.99996994702971331</v>
      </c>
      <c r="AL11" s="15">
        <f>Tabla13[[#This Row],[Calculated HGA_(Ph2)^H]]/Tabla13[[#This Row],[Real HGA_(Ph2)^H]]</f>
        <v>0.99996319573889636</v>
      </c>
      <c r="AM11" s="15">
        <f>Tabla13[[#This Row],[Calculated HGA_(Ph1)^H]]/Tabla13[[#This Row],[Real HGA_(Ph1)^H]]</f>
        <v>0.99997432770682249</v>
      </c>
      <c r="AU11"/>
      <c r="AV11"/>
      <c r="AW11"/>
    </row>
    <row r="12" spans="1:49">
      <c r="A12" s="6" t="str">
        <f t="shared" si="0"/>
        <v>1000genome</v>
      </c>
      <c r="B12" t="s">
        <v>4</v>
      </c>
      <c r="C12">
        <f>_xlfn.XLOOKUP(B12,Instances!$B$2:$B$29,Instances!$A$2:$A$29,,0,1)</f>
        <v>82</v>
      </c>
      <c r="D12">
        <v>1</v>
      </c>
      <c r="E12">
        <v>10815</v>
      </c>
      <c r="F12">
        <v>10815</v>
      </c>
      <c r="G12">
        <v>10815</v>
      </c>
      <c r="H12">
        <v>10815</v>
      </c>
      <c r="I12">
        <v>10815</v>
      </c>
      <c r="J12">
        <v>10815</v>
      </c>
      <c r="K12">
        <v>10815</v>
      </c>
      <c r="L12">
        <v>10815</v>
      </c>
      <c r="M12">
        <v>10815</v>
      </c>
      <c r="N12" s="13">
        <f t="shared" si="1"/>
        <v>0</v>
      </c>
      <c r="O12" s="13">
        <f t="shared" si="2"/>
        <v>0</v>
      </c>
      <c r="P12" s="13">
        <f t="shared" si="3"/>
        <v>0</v>
      </c>
      <c r="Q12" s="13">
        <f t="shared" si="4"/>
        <v>0</v>
      </c>
      <c r="R12" s="13">
        <f t="shared" si="5"/>
        <v>0</v>
      </c>
      <c r="S12" s="13">
        <f t="shared" si="6"/>
        <v>0</v>
      </c>
      <c r="T12" s="13">
        <f t="shared" si="7"/>
        <v>0</v>
      </c>
      <c r="U12" s="7">
        <f t="shared" si="8"/>
        <v>0</v>
      </c>
      <c r="V12">
        <v>4436.46</v>
      </c>
      <c r="W12">
        <v>10815</v>
      </c>
      <c r="X12">
        <v>4436.46</v>
      </c>
      <c r="Y12">
        <v>10815</v>
      </c>
      <c r="Z12">
        <v>10815</v>
      </c>
      <c r="AA12">
        <v>10815</v>
      </c>
      <c r="AB12">
        <v>10815</v>
      </c>
      <c r="AC12">
        <v>10815</v>
      </c>
      <c r="AD12">
        <v>10815</v>
      </c>
      <c r="AE12" s="14">
        <f>Tabla13[[#This Row],[Calculated HEFT_NC]]/Tabla13[[#This Row],[Real HEFT_NC]]</f>
        <v>0.41021359223300974</v>
      </c>
      <c r="AF12" s="14">
        <f>Tabla13[[#This Row],[Calculated HEFT_DNC]]/Tabla13[[#This Row],[Real HEFT_DNC]]</f>
        <v>1</v>
      </c>
      <c r="AG12" s="14">
        <f>Tabla13[[#This Row],[Calculated GA_NC]]/Tabla13[[#This Row],[Real GA_NC]]</f>
        <v>0.41021359223300974</v>
      </c>
      <c r="AH12" s="15">
        <f>Tabla13[[#This Row],[Calculated GA_DNC]]/Tabla13[[#This Row],[Real GA_DNC]]</f>
        <v>1</v>
      </c>
      <c r="AI12" s="15">
        <f>Tabla13[[#This Row],[Calculated HGA_(Ph2)]]/Tabla13[[#This Row],[Real HGA_(Ph2)]]</f>
        <v>1</v>
      </c>
      <c r="AJ12" s="15">
        <f>Tabla13[[#This Row],[Calculated HGA_(Ph1)]]/Tabla13[[#This Row],[Real HGA_(Ph1)]]</f>
        <v>1</v>
      </c>
      <c r="AK12" s="15">
        <f>Tabla13[[#This Row],[Calculated HGA^H]]/Tabla13[[#This Row],[Real GA^H]]</f>
        <v>1</v>
      </c>
      <c r="AL12" s="15">
        <f>Tabla13[[#This Row],[Calculated HGA_(Ph2)^H]]/Tabla13[[#This Row],[Real HGA_(Ph2)^H]]</f>
        <v>1</v>
      </c>
      <c r="AM12" s="15">
        <f>Tabla13[[#This Row],[Calculated HGA_(Ph1)^H]]/Tabla13[[#This Row],[Real HGA_(Ph1)^H]]</f>
        <v>1</v>
      </c>
      <c r="AU12"/>
      <c r="AV12"/>
      <c r="AW12"/>
    </row>
    <row r="13" spans="1:49">
      <c r="A13" s="6" t="str">
        <f t="shared" si="0"/>
        <v>1000genome</v>
      </c>
      <c r="B13" t="s">
        <v>4</v>
      </c>
      <c r="C13">
        <f>_xlfn.XLOOKUP(B13,Instances!$B$2:$B$29,Instances!$A$2:$A$29,,0,1)</f>
        <v>82</v>
      </c>
      <c r="D13">
        <v>2</v>
      </c>
      <c r="E13">
        <v>5393.4400000000014</v>
      </c>
      <c r="F13">
        <v>3293.4899999999989</v>
      </c>
      <c r="G13">
        <v>5407.442</v>
      </c>
      <c r="H13">
        <v>3235.212</v>
      </c>
      <c r="I13">
        <v>3205.9969999999998</v>
      </c>
      <c r="J13">
        <v>3319.7509999999988</v>
      </c>
      <c r="K13">
        <v>3221.4079999999999</v>
      </c>
      <c r="L13">
        <v>3189.4340000000002</v>
      </c>
      <c r="M13">
        <v>3293.4899999999989</v>
      </c>
      <c r="N13" s="13">
        <f t="shared" si="1"/>
        <v>0.38935262096176132</v>
      </c>
      <c r="O13" s="13">
        <f t="shared" si="2"/>
        <v>-2.5961167640686806E-3</v>
      </c>
      <c r="P13" s="13">
        <f t="shared" si="3"/>
        <v>0.40015796968168754</v>
      </c>
      <c r="Q13" s="13">
        <f t="shared" si="4"/>
        <v>0.40557473523391396</v>
      </c>
      <c r="R13" s="13">
        <f t="shared" si="5"/>
        <v>0.38448355780355431</v>
      </c>
      <c r="S13" s="13">
        <f t="shared" si="6"/>
        <v>0.40271737518170236</v>
      </c>
      <c r="T13" s="13">
        <f t="shared" si="7"/>
        <v>0.4086456880951676</v>
      </c>
      <c r="U13" s="7">
        <f t="shared" si="8"/>
        <v>0.38935262096176132</v>
      </c>
      <c r="V13">
        <v>2218.37</v>
      </c>
      <c r="W13">
        <v>3293.46</v>
      </c>
      <c r="X13">
        <v>2218.2310000000002</v>
      </c>
      <c r="Y13">
        <v>3235.1770000000001</v>
      </c>
      <c r="Z13">
        <v>3205.9609999999998</v>
      </c>
      <c r="AA13">
        <v>3319.7139999999999</v>
      </c>
      <c r="AB13">
        <v>3221.373000000001</v>
      </c>
      <c r="AC13">
        <v>3189.3969999999999</v>
      </c>
      <c r="AD13">
        <v>3293.46</v>
      </c>
      <c r="AE13" s="14">
        <f>Tabla13[[#This Row],[Calculated HEFT_NC]]/Tabla13[[#This Row],[Real HEFT_NC]]</f>
        <v>0.41130892343291098</v>
      </c>
      <c r="AF13" s="14">
        <f>Tabla13[[#This Row],[Calculated HEFT_DNC]]/Tabla13[[#This Row],[Real HEFT_DNC]]</f>
        <v>0.99999089112157657</v>
      </c>
      <c r="AG13" s="14">
        <f>Tabla13[[#This Row],[Calculated GA_NC]]/Tabla13[[#This Row],[Real GA_NC]]</f>
        <v>0.41021817709741504</v>
      </c>
      <c r="AH13" s="15">
        <f>Tabla13[[#This Row],[Calculated GA_DNC]]/Tabla13[[#This Row],[Real GA_DNC]]</f>
        <v>0.99998918154358973</v>
      </c>
      <c r="AI13" s="15">
        <f>Tabla13[[#This Row],[Calculated HGA_(Ph2)]]/Tabla13[[#This Row],[Real HGA_(Ph2)]]</f>
        <v>0.99998877104376582</v>
      </c>
      <c r="AJ13" s="15">
        <f>Tabla13[[#This Row],[Calculated HGA_(Ph1)]]/Tabla13[[#This Row],[Real HGA_(Ph1)]]</f>
        <v>0.99998885458578102</v>
      </c>
      <c r="AK13" s="15">
        <f>Tabla13[[#This Row],[Calculated HGA^H]]/Tabla13[[#This Row],[Real GA^H]]</f>
        <v>0.99998913518560861</v>
      </c>
      <c r="AL13" s="15">
        <f>Tabla13[[#This Row],[Calculated HGA_(Ph2)^H]]/Tabla13[[#This Row],[Real HGA_(Ph2)^H]]</f>
        <v>0.9999883991955939</v>
      </c>
      <c r="AM13" s="15">
        <f>Tabla13[[#This Row],[Calculated HGA_(Ph1)^H]]/Tabla13[[#This Row],[Real HGA_(Ph1)^H]]</f>
        <v>0.99999089112157657</v>
      </c>
      <c r="AU13"/>
      <c r="AV13"/>
      <c r="AW13"/>
    </row>
    <row r="14" spans="1:49">
      <c r="A14" s="6" t="str">
        <f t="shared" si="0"/>
        <v>1000genome</v>
      </c>
      <c r="B14" t="s">
        <v>4</v>
      </c>
      <c r="C14">
        <f>_xlfn.XLOOKUP(B14,Instances!$B$2:$B$29,Instances!$A$2:$A$29,,0,1)</f>
        <v>82</v>
      </c>
      <c r="D14">
        <v>4</v>
      </c>
      <c r="E14">
        <v>2779.53</v>
      </c>
      <c r="F14">
        <v>1710.68</v>
      </c>
      <c r="G14">
        <v>2754.953</v>
      </c>
      <c r="H14">
        <v>1658.3969999999999</v>
      </c>
      <c r="I14">
        <v>1627.2339999999999</v>
      </c>
      <c r="J14">
        <v>1694.5509999999999</v>
      </c>
      <c r="K14">
        <v>1666.1980000000001</v>
      </c>
      <c r="L14">
        <v>1626.347</v>
      </c>
      <c r="M14">
        <v>1694.53</v>
      </c>
      <c r="N14" s="13">
        <f t="shared" si="1"/>
        <v>0.38454343000435326</v>
      </c>
      <c r="O14" s="13">
        <f t="shared" si="2"/>
        <v>8.8421423765889275E-3</v>
      </c>
      <c r="P14" s="13">
        <f t="shared" si="3"/>
        <v>0.40335344464711664</v>
      </c>
      <c r="Q14" s="13">
        <f t="shared" si="4"/>
        <v>0.41456505236496827</v>
      </c>
      <c r="R14" s="13">
        <f t="shared" si="5"/>
        <v>0.39034620961097749</v>
      </c>
      <c r="S14" s="13">
        <f t="shared" si="6"/>
        <v>0.40054685504383836</v>
      </c>
      <c r="T14" s="13">
        <f t="shared" si="7"/>
        <v>0.41488417106489234</v>
      </c>
      <c r="U14" s="7">
        <f t="shared" si="8"/>
        <v>0.39035376484513573</v>
      </c>
      <c r="V14">
        <v>1151.82</v>
      </c>
      <c r="W14">
        <v>1710.61</v>
      </c>
      <c r="X14">
        <v>1114.5930000000001</v>
      </c>
      <c r="Y14">
        <v>1658.38</v>
      </c>
      <c r="Z14">
        <v>1627.204</v>
      </c>
      <c r="AA14">
        <v>1694.5239999999999</v>
      </c>
      <c r="AB14">
        <v>1666.1780000000001</v>
      </c>
      <c r="AC14">
        <v>1626.318</v>
      </c>
      <c r="AD14">
        <v>1694.4880000000001</v>
      </c>
      <c r="AE14" s="14">
        <f>Tabla13[[#This Row],[Calculated HEFT_NC]]/Tabla13[[#This Row],[Real HEFT_NC]]</f>
        <v>0.4143938003907135</v>
      </c>
      <c r="AF14" s="14">
        <f>Tabla13[[#This Row],[Calculated HEFT_DNC]]/Tabla13[[#This Row],[Real HEFT_DNC]]</f>
        <v>0.99995908059952754</v>
      </c>
      <c r="AG14" s="14">
        <f>Tabla13[[#This Row],[Calculated GA_NC]]/Tabla13[[#This Row],[Real GA_NC]]</f>
        <v>0.40457786394178052</v>
      </c>
      <c r="AH14" s="15">
        <f>Tabla13[[#This Row],[Calculated GA_DNC]]/Tabla13[[#This Row],[Real GA_DNC]]</f>
        <v>0.99998974913726946</v>
      </c>
      <c r="AI14" s="15">
        <f>Tabla13[[#This Row],[Calculated HGA_(Ph2)]]/Tabla13[[#This Row],[Real HGA_(Ph2)]]</f>
        <v>0.99998156380704928</v>
      </c>
      <c r="AJ14" s="15">
        <f>Tabla13[[#This Row],[Calculated HGA_(Ph1)]]/Tabla13[[#This Row],[Real HGA_(Ph1)]]</f>
        <v>0.99998406657574779</v>
      </c>
      <c r="AK14" s="15">
        <f>Tabla13[[#This Row],[Calculated HGA^H]]/Tabla13[[#This Row],[Real GA^H]]</f>
        <v>0.99998799662465088</v>
      </c>
      <c r="AL14" s="15">
        <f>Tabla13[[#This Row],[Calculated HGA_(Ph2)^H]]/Tabla13[[#This Row],[Real HGA_(Ph2)^H]]</f>
        <v>0.99998216862699041</v>
      </c>
      <c r="AM14" s="15">
        <f>Tabla13[[#This Row],[Calculated HGA_(Ph1)^H]]/Tabla13[[#This Row],[Real HGA_(Ph1)^H]]</f>
        <v>0.9999752143662255</v>
      </c>
      <c r="AU14"/>
      <c r="AV14"/>
      <c r="AW14"/>
    </row>
    <row r="15" spans="1:49">
      <c r="A15" s="6" t="str">
        <f t="shared" si="0"/>
        <v>1000genome</v>
      </c>
      <c r="B15" t="s">
        <v>4</v>
      </c>
      <c r="C15">
        <f>_xlfn.XLOOKUP(B15,Instances!$B$2:$B$29,Instances!$A$2:$A$29,,0,1)</f>
        <v>82</v>
      </c>
      <c r="D15">
        <v>8</v>
      </c>
      <c r="E15">
        <v>1388.36</v>
      </c>
      <c r="F15">
        <v>920.96299999999997</v>
      </c>
      <c r="G15">
        <v>1492.229</v>
      </c>
      <c r="H15">
        <v>874.61490000000015</v>
      </c>
      <c r="I15">
        <v>855.97829999999999</v>
      </c>
      <c r="J15">
        <v>956.59030000000007</v>
      </c>
      <c r="K15">
        <v>870.72619999999984</v>
      </c>
      <c r="L15">
        <v>854.47939999999994</v>
      </c>
      <c r="M15">
        <v>920.96299999999997</v>
      </c>
      <c r="N15" s="13">
        <f t="shared" si="1"/>
        <v>0.33665403785761616</v>
      </c>
      <c r="O15" s="13">
        <f t="shared" si="2"/>
        <v>-7.4814169235645045E-2</v>
      </c>
      <c r="P15" s="13">
        <f t="shared" si="3"/>
        <v>0.37003738223515498</v>
      </c>
      <c r="Q15" s="13">
        <f t="shared" si="4"/>
        <v>0.38346084589011492</v>
      </c>
      <c r="R15" s="13">
        <f t="shared" si="5"/>
        <v>0.31099260998588252</v>
      </c>
      <c r="S15" s="13">
        <f t="shared" si="6"/>
        <v>0.37283831282952556</v>
      </c>
      <c r="T15" s="13">
        <f t="shared" si="7"/>
        <v>0.38454046500907546</v>
      </c>
      <c r="U15" s="7">
        <f t="shared" si="8"/>
        <v>0.33665403785761616</v>
      </c>
      <c r="V15">
        <v>665.63</v>
      </c>
      <c r="W15">
        <v>920.8549999999999</v>
      </c>
      <c r="X15">
        <v>601.85369999999989</v>
      </c>
      <c r="Y15">
        <v>874.59509999999989</v>
      </c>
      <c r="Z15">
        <v>855.95280000000002</v>
      </c>
      <c r="AA15">
        <v>956.56399999999996</v>
      </c>
      <c r="AB15">
        <v>870.70609999999999</v>
      </c>
      <c r="AC15">
        <v>854.46669999999995</v>
      </c>
      <c r="AD15">
        <v>920.8549999999999</v>
      </c>
      <c r="AE15" s="14">
        <f>Tabla13[[#This Row],[Calculated HEFT_NC]]/Tabla13[[#This Row],[Real HEFT_NC]]</f>
        <v>0.47943616929326693</v>
      </c>
      <c r="AF15" s="14">
        <f>Tabla13[[#This Row],[Calculated HEFT_DNC]]/Tabla13[[#This Row],[Real HEFT_DNC]]</f>
        <v>0.99988273144523709</v>
      </c>
      <c r="AG15" s="14">
        <f>Tabla13[[#This Row],[Calculated GA_NC]]/Tabla13[[#This Row],[Real GA_NC]]</f>
        <v>0.40332529390596206</v>
      </c>
      <c r="AH15" s="15">
        <f>Tabla13[[#This Row],[Calculated GA_DNC]]/Tabla13[[#This Row],[Real GA_DNC]]</f>
        <v>0.99997736146502847</v>
      </c>
      <c r="AI15" s="15">
        <f>Tabla13[[#This Row],[Calculated HGA_(Ph2)]]/Tabla13[[#This Row],[Real HGA_(Ph2)]]</f>
        <v>0.99997020952517146</v>
      </c>
      <c r="AJ15" s="15">
        <f>Tabla13[[#This Row],[Calculated HGA_(Ph1)]]/Tabla13[[#This Row],[Real HGA_(Ph1)]]</f>
        <v>0.99997250651611236</v>
      </c>
      <c r="AK15" s="15">
        <f>Tabla13[[#This Row],[Calculated HGA^H]]/Tabla13[[#This Row],[Real GA^H]]</f>
        <v>0.99997691582038095</v>
      </c>
      <c r="AL15" s="15">
        <f>Tabla13[[#This Row],[Calculated HGA_(Ph2)^H]]/Tabla13[[#This Row],[Real HGA_(Ph2)^H]]</f>
        <v>0.99998513714900561</v>
      </c>
      <c r="AM15" s="15">
        <f>Tabla13[[#This Row],[Calculated HGA_(Ph1)^H]]/Tabla13[[#This Row],[Real HGA_(Ph1)^H]]</f>
        <v>0.99988273144523709</v>
      </c>
      <c r="AU15"/>
      <c r="AV15"/>
      <c r="AW15"/>
    </row>
    <row r="16" spans="1:49">
      <c r="A16" s="6" t="str">
        <f t="shared" si="0"/>
        <v>1000genome</v>
      </c>
      <c r="B16" t="s">
        <v>4</v>
      </c>
      <c r="C16">
        <f>_xlfn.XLOOKUP(B16,Instances!$B$2:$B$29,Instances!$A$2:$A$29,,0,1)</f>
        <v>82</v>
      </c>
      <c r="D16">
        <v>16</v>
      </c>
      <c r="E16">
        <v>918.75300000000004</v>
      </c>
      <c r="F16">
        <v>556.29200000000014</v>
      </c>
      <c r="G16">
        <v>917.51260000000002</v>
      </c>
      <c r="H16">
        <v>556.34219999999993</v>
      </c>
      <c r="I16">
        <v>553.59590000000003</v>
      </c>
      <c r="J16">
        <v>564.45979999999997</v>
      </c>
      <c r="K16">
        <v>556.07389999999998</v>
      </c>
      <c r="L16">
        <v>553.56230000000005</v>
      </c>
      <c r="M16">
        <v>556.29200000000014</v>
      </c>
      <c r="N16" s="13">
        <f t="shared" si="1"/>
        <v>0.39451408594039949</v>
      </c>
      <c r="O16" s="13">
        <f t="shared" si="2"/>
        <v>1.3500908296354105E-3</v>
      </c>
      <c r="P16" s="13">
        <f t="shared" si="3"/>
        <v>0.3944594466630314</v>
      </c>
      <c r="Q16" s="13">
        <f t="shared" si="4"/>
        <v>0.39744860697053508</v>
      </c>
      <c r="R16" s="13">
        <f t="shared" si="5"/>
        <v>0.38562399252029661</v>
      </c>
      <c r="S16" s="13">
        <f t="shared" si="6"/>
        <v>0.39475147292036056</v>
      </c>
      <c r="T16" s="13">
        <f t="shared" si="7"/>
        <v>0.39748517827968993</v>
      </c>
      <c r="U16" s="7">
        <f t="shared" si="8"/>
        <v>0.39451408594039949</v>
      </c>
      <c r="V16">
        <v>410.66199999999998</v>
      </c>
      <c r="W16">
        <v>556.19800000000009</v>
      </c>
      <c r="X16">
        <v>409.69080000000002</v>
      </c>
      <c r="Y16">
        <v>556.32080000000008</v>
      </c>
      <c r="Z16">
        <v>553.58909999999992</v>
      </c>
      <c r="AA16">
        <v>564.2962</v>
      </c>
      <c r="AB16">
        <v>556.06619999999998</v>
      </c>
      <c r="AC16">
        <v>553.55459999999994</v>
      </c>
      <c r="AD16">
        <v>556.19800000000009</v>
      </c>
      <c r="AE16" s="14">
        <f>Tabla13[[#This Row],[Calculated HEFT_NC]]/Tabla13[[#This Row],[Real HEFT_NC]]</f>
        <v>0.44697758810039256</v>
      </c>
      <c r="AF16" s="14">
        <f>Tabla13[[#This Row],[Calculated HEFT_DNC]]/Tabla13[[#This Row],[Real HEFT_DNC]]</f>
        <v>0.99983102399459267</v>
      </c>
      <c r="AG16" s="14">
        <f>Tabla13[[#This Row],[Calculated GA_NC]]/Tabla13[[#This Row],[Real GA_NC]]</f>
        <v>0.44652335019704364</v>
      </c>
      <c r="AH16" s="15">
        <f>Tabla13[[#This Row],[Calculated GA_DNC]]/Tabla13[[#This Row],[Real GA_DNC]]</f>
        <v>0.99996153446565827</v>
      </c>
      <c r="AI16" s="15">
        <f>Tabla13[[#This Row],[Calculated HGA_(Ph2)]]/Tabla13[[#This Row],[Real HGA_(Ph2)]]</f>
        <v>0.99998771667203434</v>
      </c>
      <c r="AJ16" s="15">
        <f>Tabla13[[#This Row],[Calculated HGA_(Ph1)]]/Tabla13[[#This Row],[Real HGA_(Ph1)]]</f>
        <v>0.99971016536518642</v>
      </c>
      <c r="AK16" s="15">
        <f>Tabla13[[#This Row],[Calculated HGA^H]]/Tabla13[[#This Row],[Real GA^H]]</f>
        <v>0.99998615291960291</v>
      </c>
      <c r="AL16" s="15">
        <f>Tabla13[[#This Row],[Calculated HGA_(Ph2)^H]]/Tabla13[[#This Row],[Real HGA_(Ph2)^H]]</f>
        <v>0.99998609009320161</v>
      </c>
      <c r="AM16" s="15">
        <f>Tabla13[[#This Row],[Calculated HGA_(Ph1)^H]]/Tabla13[[#This Row],[Real HGA_(Ph1)^H]]</f>
        <v>0.99983102399459267</v>
      </c>
      <c r="AU16"/>
      <c r="AV16"/>
      <c r="AW16"/>
    </row>
    <row r="17" spans="1:49" hidden="1">
      <c r="A17" s="6" t="str">
        <f t="shared" si="0"/>
        <v>1000genome</v>
      </c>
      <c r="B17" t="s">
        <v>5</v>
      </c>
      <c r="C17">
        <f>_xlfn.XLOOKUP(B17,Instances!$B$2:$B$29,Instances!$A$2:$A$29,,0,1)</f>
        <v>164</v>
      </c>
      <c r="D17">
        <v>1</v>
      </c>
      <c r="E17">
        <v>24659.9</v>
      </c>
      <c r="F17">
        <v>24659.9</v>
      </c>
      <c r="G17">
        <v>24659.9</v>
      </c>
      <c r="H17">
        <v>24659.9</v>
      </c>
      <c r="I17">
        <v>24659.9</v>
      </c>
      <c r="J17">
        <v>24659.9</v>
      </c>
      <c r="K17">
        <v>24659.9</v>
      </c>
      <c r="L17">
        <v>24659.9</v>
      </c>
      <c r="M17">
        <v>24659.9</v>
      </c>
      <c r="N17" s="2">
        <f t="shared" si="1"/>
        <v>0</v>
      </c>
      <c r="O17" s="2">
        <f t="shared" si="2"/>
        <v>0</v>
      </c>
      <c r="P17" s="2">
        <f t="shared" si="3"/>
        <v>0</v>
      </c>
      <c r="Q17" s="2">
        <f t="shared" si="4"/>
        <v>0</v>
      </c>
      <c r="R17" s="2">
        <f t="shared" si="5"/>
        <v>0</v>
      </c>
      <c r="S17" s="2">
        <f t="shared" si="6"/>
        <v>0</v>
      </c>
      <c r="T17" s="2">
        <f t="shared" si="7"/>
        <v>0</v>
      </c>
      <c r="U17" s="7">
        <f t="shared" si="8"/>
        <v>0</v>
      </c>
      <c r="V17">
        <v>11884.3</v>
      </c>
      <c r="W17">
        <v>24659.8</v>
      </c>
      <c r="X17">
        <v>11884.3</v>
      </c>
      <c r="Y17">
        <v>24659.8</v>
      </c>
      <c r="Z17">
        <v>24659.8</v>
      </c>
      <c r="AA17">
        <v>24659.8</v>
      </c>
      <c r="AB17">
        <v>24659.8</v>
      </c>
      <c r="AC17">
        <v>24659.8</v>
      </c>
      <c r="AD17">
        <v>24659.8</v>
      </c>
      <c r="AE17" s="6">
        <f>Tabla13[[#This Row],[Calculated HEFT_NC]]/Tabla13[[#This Row],[Real HEFT_NC]]</f>
        <v>0.4819281505602212</v>
      </c>
      <c r="AF17" s="6">
        <f>Tabla13[[#This Row],[Calculated HEFT_DNC]]/Tabla13[[#This Row],[Real HEFT_DNC]]</f>
        <v>0.99999594483351506</v>
      </c>
      <c r="AG17" s="6">
        <f>Tabla13[[#This Row],[Calculated GA_NC]]/Tabla13[[#This Row],[Real GA_NC]]</f>
        <v>0.4819281505602212</v>
      </c>
      <c r="AH17" s="6">
        <f>Tabla13[[#This Row],[Calculated GA_DNC]]/Tabla13[[#This Row],[Real GA_DNC]]</f>
        <v>0.99999594483351506</v>
      </c>
      <c r="AI17" s="6">
        <f>Tabla13[[#This Row],[Calculated HGA_(Ph2)]]/Tabla13[[#This Row],[Real HGA_(Ph2)]]</f>
        <v>0.99999594483351506</v>
      </c>
      <c r="AJ17" s="6">
        <f>Tabla13[[#This Row],[Calculated HGA_(Ph1)]]/Tabla13[[#This Row],[Real HGA_(Ph1)]]</f>
        <v>0.99999594483351506</v>
      </c>
      <c r="AK17" s="6">
        <f>Tabla13[[#This Row],[Calculated HGA^H]]/Tabla13[[#This Row],[Real GA^H]]</f>
        <v>0.99999594483351506</v>
      </c>
      <c r="AL17" s="6">
        <f>Tabla13[[#This Row],[Calculated HGA_(Ph2)^H]]/Tabla13[[#This Row],[Real HGA_(Ph2)^H]]</f>
        <v>0.99999594483351506</v>
      </c>
      <c r="AM17" s="6">
        <f>Tabla13[[#This Row],[Calculated HGA_(Ph1)^H]]/Tabla13[[#This Row],[Real HGA_(Ph1)^H]]</f>
        <v>0.99999594483351506</v>
      </c>
      <c r="AU17"/>
      <c r="AV17"/>
      <c r="AW17"/>
    </row>
    <row r="18" spans="1:49" hidden="1">
      <c r="A18" s="6" t="str">
        <f t="shared" si="0"/>
        <v>1000genome</v>
      </c>
      <c r="B18" t="s">
        <v>5</v>
      </c>
      <c r="C18">
        <f>_xlfn.XLOOKUP(B18,Instances!$B$2:$B$29,Instances!$A$2:$A$29,,0,1)</f>
        <v>164</v>
      </c>
      <c r="D18">
        <v>2</v>
      </c>
      <c r="E18">
        <v>12331</v>
      </c>
      <c r="F18">
        <v>8321.94</v>
      </c>
      <c r="G18">
        <v>12328.63</v>
      </c>
      <c r="H18">
        <v>8102.3279999999986</v>
      </c>
      <c r="I18">
        <v>7953.4040000000005</v>
      </c>
      <c r="J18">
        <v>8251.85</v>
      </c>
      <c r="K18">
        <v>8134.0290000000005</v>
      </c>
      <c r="L18">
        <v>7977.3269999999993</v>
      </c>
      <c r="M18">
        <v>8250.6239999999998</v>
      </c>
      <c r="N18" s="2">
        <f t="shared" si="1"/>
        <v>0.32512042818911679</v>
      </c>
      <c r="O18" s="2">
        <f t="shared" si="2"/>
        <v>1.9219852404515453E-4</v>
      </c>
      <c r="P18" s="2">
        <f t="shared" si="3"/>
        <v>0.34293017597923942</v>
      </c>
      <c r="Q18" s="2">
        <f t="shared" si="4"/>
        <v>0.35500737977455188</v>
      </c>
      <c r="R18" s="2">
        <f t="shared" si="5"/>
        <v>0.33080447652258532</v>
      </c>
      <c r="S18" s="2">
        <f t="shared" si="6"/>
        <v>0.34035933825318299</v>
      </c>
      <c r="T18" s="2">
        <f t="shared" si="7"/>
        <v>0.35306731003162767</v>
      </c>
      <c r="U18" s="7">
        <f t="shared" si="8"/>
        <v>0.33090390073797749</v>
      </c>
      <c r="V18">
        <v>5942.2299999999987</v>
      </c>
      <c r="W18">
        <v>8321.69</v>
      </c>
      <c r="X18">
        <v>5942.1350000000002</v>
      </c>
      <c r="Y18">
        <v>8102.2199999999993</v>
      </c>
      <c r="Z18">
        <v>7953.2869999999994</v>
      </c>
      <c r="AA18">
        <v>8251.77</v>
      </c>
      <c r="AB18">
        <v>8133.9289999999992</v>
      </c>
      <c r="AC18">
        <v>7977.1979999999994</v>
      </c>
      <c r="AD18">
        <v>8250.5499999999993</v>
      </c>
      <c r="AE18" s="6">
        <f>Tabla13[[#This Row],[Calculated HEFT_NC]]/Tabla13[[#This Row],[Real HEFT_NC]]</f>
        <v>0.48189360149217408</v>
      </c>
      <c r="AF18" s="6">
        <f>Tabla13[[#This Row],[Calculated HEFT_DNC]]/Tabla13[[#This Row],[Real HEFT_DNC]]</f>
        <v>0.99996995892784613</v>
      </c>
      <c r="AG18" s="6">
        <f>Tabla13[[#This Row],[Calculated GA_NC]]/Tabla13[[#This Row],[Real GA_NC]]</f>
        <v>0.48197853289457149</v>
      </c>
      <c r="AH18" s="6">
        <f>Tabla13[[#This Row],[Calculated GA_DNC]]/Tabla13[[#This Row],[Real GA_DNC]]</f>
        <v>0.99998667049766443</v>
      </c>
      <c r="AI18" s="6">
        <f>Tabla13[[#This Row],[Calculated HGA_(Ph2)]]/Tabla13[[#This Row],[Real HGA_(Ph2)]]</f>
        <v>0.99998528931763042</v>
      </c>
      <c r="AJ18" s="6">
        <f>Tabla13[[#This Row],[Calculated HGA_(Ph1)]]/Tabla13[[#This Row],[Real HGA_(Ph1)]]</f>
        <v>0.99999030520428756</v>
      </c>
      <c r="AK18" s="6">
        <f>Tabla13[[#This Row],[Calculated HGA^H]]/Tabla13[[#This Row],[Real GA^H]]</f>
        <v>0.99998770596957531</v>
      </c>
      <c r="AL18" s="6">
        <f>Tabla13[[#This Row],[Calculated HGA_(Ph2)^H]]/Tabla13[[#This Row],[Real HGA_(Ph2)^H]]</f>
        <v>0.99998382916984596</v>
      </c>
      <c r="AM18" s="6">
        <f>Tabla13[[#This Row],[Calculated HGA_(Ph1)^H]]/Tabla13[[#This Row],[Real HGA_(Ph1)^H]]</f>
        <v>0.99999103098141418</v>
      </c>
      <c r="AU18"/>
      <c r="AV18"/>
      <c r="AW18"/>
    </row>
    <row r="19" spans="1:49" hidden="1">
      <c r="A19" s="6" t="str">
        <f t="shared" si="0"/>
        <v>1000genome</v>
      </c>
      <c r="B19" t="s">
        <v>5</v>
      </c>
      <c r="C19">
        <f>_xlfn.XLOOKUP(B19,Instances!$B$2:$B$29,Instances!$A$2:$A$29,,0,1)</f>
        <v>164</v>
      </c>
      <c r="D19">
        <v>4</v>
      </c>
      <c r="E19">
        <v>6289.82</v>
      </c>
      <c r="F19">
        <v>4154.99</v>
      </c>
      <c r="G19">
        <v>6291.8679999999986</v>
      </c>
      <c r="H19">
        <v>4112.8980000000001</v>
      </c>
      <c r="I19">
        <v>3994.42</v>
      </c>
      <c r="J19">
        <v>4174.585</v>
      </c>
      <c r="K19">
        <v>4133.9479999999994</v>
      </c>
      <c r="L19">
        <v>3981.8649999999998</v>
      </c>
      <c r="M19">
        <v>4153.7729999999992</v>
      </c>
      <c r="N19" s="2">
        <f t="shared" si="1"/>
        <v>0.33941034878581583</v>
      </c>
      <c r="O19" s="2">
        <f t="shared" si="2"/>
        <v>-3.2560550222404856E-4</v>
      </c>
      <c r="P19" s="2">
        <f t="shared" si="3"/>
        <v>0.34610243218406883</v>
      </c>
      <c r="Q19" s="2">
        <f t="shared" si="4"/>
        <v>0.3649389012722144</v>
      </c>
      <c r="R19" s="2">
        <f t="shared" si="5"/>
        <v>0.33629499731311863</v>
      </c>
      <c r="S19" s="2">
        <f t="shared" si="6"/>
        <v>0.34275575453669588</v>
      </c>
      <c r="T19" s="2">
        <f t="shared" si="7"/>
        <v>0.36693498383101586</v>
      </c>
      <c r="U19" s="7">
        <f t="shared" si="8"/>
        <v>0.33960383603982319</v>
      </c>
      <c r="V19">
        <v>2974.82</v>
      </c>
      <c r="W19">
        <v>4154.93</v>
      </c>
      <c r="X19">
        <v>2971.8319999999999</v>
      </c>
      <c r="Y19">
        <v>4112.8330000000014</v>
      </c>
      <c r="Z19">
        <v>3994.329999999999</v>
      </c>
      <c r="AA19">
        <v>4174.5180000000009</v>
      </c>
      <c r="AB19">
        <v>4133.8850000000002</v>
      </c>
      <c r="AC19">
        <v>3981.7809999999999</v>
      </c>
      <c r="AD19">
        <v>4153.7069999999994</v>
      </c>
      <c r="AE19" s="6">
        <f>Tabla13[[#This Row],[Calculated HEFT_NC]]/Tabla13[[#This Row],[Real HEFT_NC]]</f>
        <v>0.47295789068685595</v>
      </c>
      <c r="AF19" s="6">
        <f>Tabla13[[#This Row],[Calculated HEFT_DNC]]/Tabla13[[#This Row],[Real HEFT_DNC]]</f>
        <v>0.99998555953203272</v>
      </c>
      <c r="AG19" s="6">
        <f>Tabla13[[#This Row],[Calculated GA_NC]]/Tabla13[[#This Row],[Real GA_NC]]</f>
        <v>0.47232904441097628</v>
      </c>
      <c r="AH19" s="6">
        <f>Tabla13[[#This Row],[Calculated GA_DNC]]/Tabla13[[#This Row],[Real GA_DNC]]</f>
        <v>0.99998419605835143</v>
      </c>
      <c r="AI19" s="6">
        <f>Tabla13[[#This Row],[Calculated HGA_(Ph2)]]/Tabla13[[#This Row],[Real HGA_(Ph2)]]</f>
        <v>0.99997746856865299</v>
      </c>
      <c r="AJ19" s="6">
        <f>Tabla13[[#This Row],[Calculated HGA_(Ph1)]]/Tabla13[[#This Row],[Real HGA_(Ph1)]]</f>
        <v>0.99998395050046918</v>
      </c>
      <c r="AK19" s="6">
        <f>Tabla13[[#This Row],[Calculated HGA^H]]/Tabla13[[#This Row],[Real GA^H]]</f>
        <v>0.99998476033080264</v>
      </c>
      <c r="AL19" s="6">
        <f>Tabla13[[#This Row],[Calculated HGA_(Ph2)^H]]/Tabla13[[#This Row],[Real HGA_(Ph2)^H]]</f>
        <v>0.99997890435763148</v>
      </c>
      <c r="AM19" s="6">
        <f>Tabla13[[#This Row],[Calculated HGA_(Ph1)^H]]/Tabla13[[#This Row],[Real HGA_(Ph1)^H]]</f>
        <v>0.99998411083128524</v>
      </c>
      <c r="AU19"/>
      <c r="AV19"/>
      <c r="AW19"/>
    </row>
    <row r="20" spans="1:49" hidden="1">
      <c r="A20" s="6" t="str">
        <f t="shared" si="0"/>
        <v>1000genome</v>
      </c>
      <c r="B20" t="s">
        <v>5</v>
      </c>
      <c r="C20">
        <f>_xlfn.XLOOKUP(B20,Instances!$B$2:$B$29,Instances!$A$2:$A$29,,0,1)</f>
        <v>164</v>
      </c>
      <c r="D20">
        <v>8</v>
      </c>
      <c r="E20">
        <v>3157.8</v>
      </c>
      <c r="F20">
        <v>2065.16</v>
      </c>
      <c r="G20">
        <v>3219.84</v>
      </c>
      <c r="H20">
        <v>2097.777</v>
      </c>
      <c r="I20">
        <v>2013.8240000000001</v>
      </c>
      <c r="J20">
        <v>2181.3939999999998</v>
      </c>
      <c r="K20">
        <v>2058.331000000001</v>
      </c>
      <c r="L20">
        <v>1986.9390000000001</v>
      </c>
      <c r="M20">
        <v>2065.16</v>
      </c>
      <c r="N20" s="2">
        <f t="shared" si="1"/>
        <v>0.3460130470580785</v>
      </c>
      <c r="O20" s="2">
        <f t="shared" si="2"/>
        <v>-1.9646589397681918E-2</v>
      </c>
      <c r="P20" s="2">
        <f t="shared" si="3"/>
        <v>0.33568402052061563</v>
      </c>
      <c r="Q20" s="2">
        <f t="shared" si="4"/>
        <v>0.36226993476470964</v>
      </c>
      <c r="R20" s="2">
        <f t="shared" si="5"/>
        <v>0.30920450946861749</v>
      </c>
      <c r="S20" s="2">
        <f t="shared" si="6"/>
        <v>0.34817562860219109</v>
      </c>
      <c r="T20" s="2">
        <f t="shared" si="7"/>
        <v>0.37078377351320541</v>
      </c>
      <c r="U20" s="7">
        <f t="shared" si="8"/>
        <v>0.3460130470580785</v>
      </c>
      <c r="V20">
        <v>1543.36</v>
      </c>
      <c r="W20">
        <v>2065.14</v>
      </c>
      <c r="X20">
        <v>1512.8219999999999</v>
      </c>
      <c r="Y20">
        <v>2097.73</v>
      </c>
      <c r="Z20">
        <v>2013.7750000000001</v>
      </c>
      <c r="AA20">
        <v>2181.3310000000001</v>
      </c>
      <c r="AB20">
        <v>2058.3000000000002</v>
      </c>
      <c r="AC20">
        <v>1986.874</v>
      </c>
      <c r="AD20">
        <v>2065.14</v>
      </c>
      <c r="AE20" s="6">
        <f>Tabla13[[#This Row],[Calculated HEFT_NC]]/Tabla13[[#This Row],[Real HEFT_NC]]</f>
        <v>0.48874532902653739</v>
      </c>
      <c r="AF20" s="6">
        <f>Tabla13[[#This Row],[Calculated HEFT_DNC]]/Tabla13[[#This Row],[Real HEFT_DNC]]</f>
        <v>0.99999031552034712</v>
      </c>
      <c r="AG20" s="6">
        <f>Tabla13[[#This Row],[Calculated GA_NC]]/Tabla13[[#This Row],[Real GA_NC]]</f>
        <v>0.46984384317233147</v>
      </c>
      <c r="AH20" s="6">
        <f>Tabla13[[#This Row],[Calculated GA_DNC]]/Tabla13[[#This Row],[Real GA_DNC]]</f>
        <v>0.99997759533067621</v>
      </c>
      <c r="AI20" s="6">
        <f>Tabla13[[#This Row],[Calculated HGA_(Ph2)]]/Tabla13[[#This Row],[Real HGA_(Ph2)]]</f>
        <v>0.99997566818152928</v>
      </c>
      <c r="AJ20" s="6">
        <f>Tabla13[[#This Row],[Calculated HGA_(Ph1)]]/Tabla13[[#This Row],[Real HGA_(Ph1)]]</f>
        <v>0.99997111938512728</v>
      </c>
      <c r="AK20" s="6">
        <f>Tabla13[[#This Row],[Calculated HGA^H]]/Tabla13[[#This Row],[Real GA^H]]</f>
        <v>0.99998493925418175</v>
      </c>
      <c r="AL20" s="6">
        <f>Tabla13[[#This Row],[Calculated HGA_(Ph2)^H]]/Tabla13[[#This Row],[Real HGA_(Ph2)^H]]</f>
        <v>0.99996728636359744</v>
      </c>
      <c r="AM20" s="6">
        <f>Tabla13[[#This Row],[Calculated HGA_(Ph1)^H]]/Tabla13[[#This Row],[Real HGA_(Ph1)^H]]</f>
        <v>0.99999031552034712</v>
      </c>
      <c r="AU20"/>
      <c r="AV20"/>
      <c r="AW20"/>
    </row>
    <row r="21" spans="1:49" hidden="1">
      <c r="A21" s="6" t="str">
        <f t="shared" si="0"/>
        <v>1000genome</v>
      </c>
      <c r="B21" t="s">
        <v>5</v>
      </c>
      <c r="C21">
        <f>_xlfn.XLOOKUP(B21,Instances!$B$2:$B$29,Instances!$A$2:$A$29,,0,1)</f>
        <v>164</v>
      </c>
      <c r="D21">
        <v>16</v>
      </c>
      <c r="E21">
        <v>1661.25</v>
      </c>
      <c r="F21">
        <v>1053.1099999999999</v>
      </c>
      <c r="G21">
        <v>1747.4870000000001</v>
      </c>
      <c r="H21">
        <v>1134.615</v>
      </c>
      <c r="I21">
        <v>1047.6020000000001</v>
      </c>
      <c r="J21">
        <v>1140.3800000000001</v>
      </c>
      <c r="K21">
        <v>1053.05</v>
      </c>
      <c r="L21">
        <v>1039.268</v>
      </c>
      <c r="M21">
        <v>1053.1099999999999</v>
      </c>
      <c r="N21" s="2">
        <f t="shared" si="1"/>
        <v>0.36607373965387513</v>
      </c>
      <c r="O21" s="2">
        <f t="shared" si="2"/>
        <v>-5.1910910458991773E-2</v>
      </c>
      <c r="P21" s="2">
        <f t="shared" si="3"/>
        <v>0.31701128668171558</v>
      </c>
      <c r="Q21" s="2">
        <f t="shared" si="4"/>
        <v>0.36938931527464253</v>
      </c>
      <c r="R21" s="2">
        <f t="shared" si="5"/>
        <v>0.31354100827689985</v>
      </c>
      <c r="S21" s="2">
        <f t="shared" si="6"/>
        <v>0.36610985703536497</v>
      </c>
      <c r="T21" s="2">
        <f t="shared" si="7"/>
        <v>0.3744060195635816</v>
      </c>
      <c r="U21" s="7">
        <f t="shared" si="8"/>
        <v>0.36607373965387513</v>
      </c>
      <c r="V21">
        <v>817.43599999999992</v>
      </c>
      <c r="W21">
        <v>1053.0999999999999</v>
      </c>
      <c r="X21">
        <v>854.83809999999994</v>
      </c>
      <c r="Y21">
        <v>1134.578</v>
      </c>
      <c r="Z21">
        <v>1047.5</v>
      </c>
      <c r="AA21">
        <v>1140.3</v>
      </c>
      <c r="AB21">
        <v>1053.04</v>
      </c>
      <c r="AC21">
        <v>1039.2339999999999</v>
      </c>
      <c r="AD21">
        <v>1053.0999999999999</v>
      </c>
      <c r="AE21" s="6">
        <f>Tabla13[[#This Row],[Calculated HEFT_NC]]/Tabla13[[#This Row],[Real HEFT_NC]]</f>
        <v>0.49206079759217453</v>
      </c>
      <c r="AF21" s="6">
        <f>Tabla13[[#This Row],[Calculated HEFT_DNC]]/Tabla13[[#This Row],[Real HEFT_DNC]]</f>
        <v>0.99999050431578851</v>
      </c>
      <c r="AG21" s="6">
        <f>Tabla13[[#This Row],[Calculated GA_NC]]/Tabla13[[#This Row],[Real GA_NC]]</f>
        <v>0.48918137874559292</v>
      </c>
      <c r="AH21" s="6">
        <f>Tabla13[[#This Row],[Calculated GA_DNC]]/Tabla13[[#This Row],[Real GA_DNC]]</f>
        <v>0.9999673898194541</v>
      </c>
      <c r="AI21" s="6">
        <f>Tabla13[[#This Row],[Calculated HGA_(Ph2)]]/Tabla13[[#This Row],[Real HGA_(Ph2)]]</f>
        <v>0.99990263477923857</v>
      </c>
      <c r="AJ21" s="6">
        <f>Tabla13[[#This Row],[Calculated HGA_(Ph1)]]/Tabla13[[#This Row],[Real HGA_(Ph1)]]</f>
        <v>0.99992984794542161</v>
      </c>
      <c r="AK21" s="6">
        <f>Tabla13[[#This Row],[Calculated HGA^H]]/Tabla13[[#This Row],[Real GA^H]]</f>
        <v>0.99999050377474952</v>
      </c>
      <c r="AL21" s="6">
        <f>Tabla13[[#This Row],[Calculated HGA_(Ph2)^H]]/Tabla13[[#This Row],[Real HGA_(Ph2)^H]]</f>
        <v>0.99996728466574536</v>
      </c>
      <c r="AM21" s="6">
        <f>Tabla13[[#This Row],[Calculated HGA_(Ph1)^H]]/Tabla13[[#This Row],[Real HGA_(Ph1)^H]]</f>
        <v>0.99999050431578851</v>
      </c>
      <c r="AU21"/>
      <c r="AV21"/>
      <c r="AW21"/>
    </row>
    <row r="22" spans="1:49">
      <c r="A22" s="6" t="str">
        <f t="shared" si="0"/>
        <v>cycles</v>
      </c>
      <c r="B22" t="s">
        <v>6</v>
      </c>
      <c r="C22">
        <f>_xlfn.XLOOKUP(B22,Instances!$B$2:$B$29,Instances!$A$2:$A$29,,0,1)</f>
        <v>67</v>
      </c>
      <c r="D22">
        <v>1</v>
      </c>
      <c r="E22">
        <v>889.11399999999992</v>
      </c>
      <c r="F22">
        <v>889.11399999999992</v>
      </c>
      <c r="G22">
        <v>889.11399999999992</v>
      </c>
      <c r="H22">
        <v>889.11399999999992</v>
      </c>
      <c r="I22">
        <v>889.11399999999992</v>
      </c>
      <c r="J22">
        <v>889.11399999999992</v>
      </c>
      <c r="K22">
        <v>889.11399999999992</v>
      </c>
      <c r="L22">
        <v>889.11399999999992</v>
      </c>
      <c r="M22">
        <v>889.11399999999992</v>
      </c>
      <c r="N22" s="13">
        <f t="shared" si="1"/>
        <v>0</v>
      </c>
      <c r="O22" s="13">
        <f t="shared" si="2"/>
        <v>0</v>
      </c>
      <c r="P22" s="13">
        <f t="shared" si="3"/>
        <v>0</v>
      </c>
      <c r="Q22" s="13">
        <f t="shared" si="4"/>
        <v>0</v>
      </c>
      <c r="R22" s="13">
        <f t="shared" si="5"/>
        <v>0</v>
      </c>
      <c r="S22" s="13">
        <f t="shared" si="6"/>
        <v>0</v>
      </c>
      <c r="T22" s="13">
        <f t="shared" si="7"/>
        <v>0</v>
      </c>
      <c r="U22" s="7">
        <f t="shared" si="8"/>
        <v>0</v>
      </c>
      <c r="V22">
        <v>862.69899999999996</v>
      </c>
      <c r="W22">
        <v>889.05999999999983</v>
      </c>
      <c r="X22">
        <v>862.69899999999996</v>
      </c>
      <c r="Y22">
        <v>889.05999999999983</v>
      </c>
      <c r="Z22">
        <v>889.05999999999983</v>
      </c>
      <c r="AA22">
        <v>889.05999999999983</v>
      </c>
      <c r="AB22">
        <v>889.05999999999983</v>
      </c>
      <c r="AC22">
        <v>889.05999999999983</v>
      </c>
      <c r="AD22">
        <v>889.05999999999983</v>
      </c>
      <c r="AE22" s="14">
        <f>Tabla13[[#This Row],[Calculated HEFT_NC]]/Tabla13[[#This Row],[Real HEFT_NC]]</f>
        <v>0.97029064889316785</v>
      </c>
      <c r="AF22" s="14">
        <f>Tabla13[[#This Row],[Calculated HEFT_DNC]]/Tabla13[[#This Row],[Real HEFT_DNC]]</f>
        <v>0.99993926538104216</v>
      </c>
      <c r="AG22" s="14">
        <f>Tabla13[[#This Row],[Calculated GA_NC]]/Tabla13[[#This Row],[Real GA_NC]]</f>
        <v>0.97029064889316785</v>
      </c>
      <c r="AH22" s="15">
        <f>Tabla13[[#This Row],[Calculated GA_DNC]]/Tabla13[[#This Row],[Real GA_DNC]]</f>
        <v>0.99993926538104216</v>
      </c>
      <c r="AI22" s="15">
        <f>Tabla13[[#This Row],[Calculated HGA_(Ph2)]]/Tabla13[[#This Row],[Real HGA_(Ph2)]]</f>
        <v>0.99993926538104216</v>
      </c>
      <c r="AJ22" s="15">
        <f>Tabla13[[#This Row],[Calculated HGA_(Ph1)]]/Tabla13[[#This Row],[Real HGA_(Ph1)]]</f>
        <v>0.99993926538104216</v>
      </c>
      <c r="AK22" s="15">
        <f>Tabla13[[#This Row],[Calculated HGA^H]]/Tabla13[[#This Row],[Real GA^H]]</f>
        <v>0.99993926538104216</v>
      </c>
      <c r="AL22" s="15">
        <f>Tabla13[[#This Row],[Calculated HGA_(Ph2)^H]]/Tabla13[[#This Row],[Real HGA_(Ph2)^H]]</f>
        <v>0.99993926538104216</v>
      </c>
      <c r="AM22" s="15">
        <f>Tabla13[[#This Row],[Calculated HGA_(Ph1)^H]]/Tabla13[[#This Row],[Real HGA_(Ph1)^H]]</f>
        <v>0.99993926538104216</v>
      </c>
      <c r="AU22"/>
      <c r="AV22"/>
      <c r="AW22"/>
    </row>
    <row r="23" spans="1:49">
      <c r="A23" s="6" t="str">
        <f t="shared" si="0"/>
        <v>cycles</v>
      </c>
      <c r="B23" t="s">
        <v>6</v>
      </c>
      <c r="C23">
        <f>_xlfn.XLOOKUP(B23,Instances!$B$2:$B$29,Instances!$A$2:$A$29,,0,1)</f>
        <v>67</v>
      </c>
      <c r="D23">
        <v>2</v>
      </c>
      <c r="E23">
        <v>444.02300000000002</v>
      </c>
      <c r="F23">
        <v>439.18</v>
      </c>
      <c r="G23">
        <v>444.08539999999999</v>
      </c>
      <c r="H23">
        <v>438.92189999999999</v>
      </c>
      <c r="I23">
        <v>436.86500000000001</v>
      </c>
      <c r="J23">
        <v>438.98639999999989</v>
      </c>
      <c r="K23">
        <v>438.99040000000002</v>
      </c>
      <c r="L23">
        <v>436.77800000000002</v>
      </c>
      <c r="M23">
        <v>438.6728</v>
      </c>
      <c r="N23" s="13">
        <f t="shared" si="1"/>
        <v>1.0907092650605977E-2</v>
      </c>
      <c r="O23" s="13">
        <f t="shared" si="2"/>
        <v>-1.4053326066435355E-4</v>
      </c>
      <c r="P23" s="13">
        <f t="shared" si="3"/>
        <v>1.148836884575806E-2</v>
      </c>
      <c r="Q23" s="13">
        <f t="shared" si="4"/>
        <v>1.6120786535832637E-2</v>
      </c>
      <c r="R23" s="13">
        <f t="shared" si="5"/>
        <v>1.1343106100359969E-2</v>
      </c>
      <c r="S23" s="13">
        <f t="shared" si="6"/>
        <v>1.1334097558009387E-2</v>
      </c>
      <c r="T23" s="13">
        <f t="shared" si="7"/>
        <v>1.6316722331951281E-2</v>
      </c>
      <c r="U23" s="7">
        <f t="shared" si="8"/>
        <v>1.2049375820621971E-2</v>
      </c>
      <c r="V23">
        <v>431.85599999999988</v>
      </c>
      <c r="W23">
        <v>439.14800000000002</v>
      </c>
      <c r="X23">
        <v>431.37560000000002</v>
      </c>
      <c r="Y23">
        <v>438.88850000000002</v>
      </c>
      <c r="Z23">
        <v>436.82530000000003</v>
      </c>
      <c r="AA23">
        <v>438.95330000000001</v>
      </c>
      <c r="AB23">
        <v>438.95740000000001</v>
      </c>
      <c r="AC23">
        <v>436.7414</v>
      </c>
      <c r="AD23">
        <v>438.64170000000001</v>
      </c>
      <c r="AE23" s="14">
        <f>Tabla13[[#This Row],[Calculated HEFT_NC]]/Tabla13[[#This Row],[Real HEFT_NC]]</f>
        <v>0.97259826630602442</v>
      </c>
      <c r="AF23" s="14">
        <f>Tabla13[[#This Row],[Calculated HEFT_DNC]]/Tabla13[[#This Row],[Real HEFT_DNC]]</f>
        <v>0.99992713693701907</v>
      </c>
      <c r="AG23" s="14">
        <f>Tabla13[[#This Row],[Calculated GA_NC]]/Tabla13[[#This Row],[Real GA_NC]]</f>
        <v>0.9713798291950152</v>
      </c>
      <c r="AH23" s="15">
        <f>Tabla13[[#This Row],[Calculated GA_DNC]]/Tabla13[[#This Row],[Real GA_DNC]]</f>
        <v>0.99992390445771795</v>
      </c>
      <c r="AI23" s="15">
        <f>Tabla13[[#This Row],[Calculated HGA_(Ph2)]]/Tabla13[[#This Row],[Real HGA_(Ph2)]]</f>
        <v>0.99990912524464082</v>
      </c>
      <c r="AJ23" s="15">
        <f>Tabla13[[#This Row],[Calculated HGA_(Ph1)]]/Tabla13[[#This Row],[Real HGA_(Ph1)]]</f>
        <v>0.99992459903085862</v>
      </c>
      <c r="AK23" s="15">
        <f>Tabla13[[#This Row],[Calculated HGA^H]]/Tabla13[[#This Row],[Real GA^H]]</f>
        <v>0.99992482751331235</v>
      </c>
      <c r="AL23" s="15">
        <f>Tabla13[[#This Row],[Calculated HGA_(Ph2)^H]]/Tabla13[[#This Row],[Real HGA_(Ph2)^H]]</f>
        <v>0.99991620457074293</v>
      </c>
      <c r="AM23" s="15">
        <f>Tabla13[[#This Row],[Calculated HGA_(Ph1)^H]]/Tabla13[[#This Row],[Real HGA_(Ph1)^H]]</f>
        <v>0.99992910433471149</v>
      </c>
      <c r="AU23"/>
      <c r="AV23"/>
      <c r="AW23"/>
    </row>
    <row r="24" spans="1:49">
      <c r="A24" s="6" t="str">
        <f t="shared" si="0"/>
        <v>cycles</v>
      </c>
      <c r="B24" t="s">
        <v>6</v>
      </c>
      <c r="C24">
        <f>_xlfn.XLOOKUP(B24,Instances!$B$2:$B$29,Instances!$A$2:$A$29,,0,1)</f>
        <v>67</v>
      </c>
      <c r="D24">
        <v>4</v>
      </c>
      <c r="E24">
        <v>247.983</v>
      </c>
      <c r="F24">
        <v>246.566</v>
      </c>
      <c r="G24">
        <v>255.24</v>
      </c>
      <c r="H24">
        <v>251.6671</v>
      </c>
      <c r="I24">
        <v>252.155</v>
      </c>
      <c r="J24">
        <v>246.5146</v>
      </c>
      <c r="K24">
        <v>244.3571</v>
      </c>
      <c r="L24">
        <v>243.4598</v>
      </c>
      <c r="M24">
        <v>246.37360000000001</v>
      </c>
      <c r="N24" s="13">
        <f t="shared" si="1"/>
        <v>5.714101369851972E-3</v>
      </c>
      <c r="O24" s="13">
        <f t="shared" si="2"/>
        <v>-2.9264102781239056E-2</v>
      </c>
      <c r="P24" s="13">
        <f t="shared" si="3"/>
        <v>-1.4856260308166289E-2</v>
      </c>
      <c r="Q24" s="13">
        <f t="shared" si="4"/>
        <v>-1.6823733884984038E-2</v>
      </c>
      <c r="R24" s="13">
        <f t="shared" si="5"/>
        <v>5.9213736425480883E-3</v>
      </c>
      <c r="S24" s="13">
        <f t="shared" si="6"/>
        <v>1.4621566800950071E-2</v>
      </c>
      <c r="T24" s="13">
        <f t="shared" si="7"/>
        <v>1.8239959997257887E-2</v>
      </c>
      <c r="U24" s="7">
        <f t="shared" si="8"/>
        <v>6.4899610053914735E-3</v>
      </c>
      <c r="V24">
        <v>243.43199999999999</v>
      </c>
      <c r="W24">
        <v>246.553</v>
      </c>
      <c r="X24">
        <v>250.79339999999999</v>
      </c>
      <c r="Y24">
        <v>251.65430000000001</v>
      </c>
      <c r="Z24">
        <v>252.1421</v>
      </c>
      <c r="AA24">
        <v>246.50059999999999</v>
      </c>
      <c r="AB24">
        <v>244.3451</v>
      </c>
      <c r="AC24">
        <v>243.44630000000001</v>
      </c>
      <c r="AD24">
        <v>246.36060000000001</v>
      </c>
      <c r="AE24" s="14">
        <f>Tabla13[[#This Row],[Calculated HEFT_NC]]/Tabla13[[#This Row],[Real HEFT_NC]]</f>
        <v>0.98164793554396867</v>
      </c>
      <c r="AF24" s="14">
        <f>Tabla13[[#This Row],[Calculated HEFT_DNC]]/Tabla13[[#This Row],[Real HEFT_DNC]]</f>
        <v>0.99994727578011566</v>
      </c>
      <c r="AG24" s="14">
        <f>Tabla13[[#This Row],[Calculated GA_NC]]/Tabla13[[#This Row],[Real GA_NC]]</f>
        <v>0.98257874941231771</v>
      </c>
      <c r="AH24" s="15">
        <f>Tabla13[[#This Row],[Calculated GA_DNC]]/Tabla13[[#This Row],[Real GA_DNC]]</f>
        <v>0.99994913916042261</v>
      </c>
      <c r="AI24" s="15">
        <f>Tabla13[[#This Row],[Calculated HGA_(Ph2)]]/Tabla13[[#This Row],[Real HGA_(Ph2)]]</f>
        <v>0.9999488409906605</v>
      </c>
      <c r="AJ24" s="15">
        <f>Tabla13[[#This Row],[Calculated HGA_(Ph1)]]/Tabla13[[#This Row],[Real HGA_(Ph1)]]</f>
        <v>0.99994320823188565</v>
      </c>
      <c r="AK24" s="15">
        <f>Tabla13[[#This Row],[Calculated HGA^H]]/Tabla13[[#This Row],[Real GA^H]]</f>
        <v>0.99995089154356476</v>
      </c>
      <c r="AL24" s="15">
        <f>Tabla13[[#This Row],[Calculated HGA_(Ph2)^H]]/Tabla13[[#This Row],[Real HGA_(Ph2)^H]]</f>
        <v>0.99994454936708244</v>
      </c>
      <c r="AM24" s="15">
        <f>Tabla13[[#This Row],[Calculated HGA_(Ph1)^H]]/Tabla13[[#This Row],[Real HGA_(Ph1)^H]]</f>
        <v>0.99994723460630519</v>
      </c>
      <c r="AU24"/>
      <c r="AV24"/>
      <c r="AW24"/>
    </row>
    <row r="25" spans="1:49">
      <c r="A25" s="6" t="str">
        <f t="shared" si="0"/>
        <v>cycles</v>
      </c>
      <c r="B25" t="s">
        <v>6</v>
      </c>
      <c r="C25">
        <f>_xlfn.XLOOKUP(B25,Instances!$B$2:$B$29,Instances!$A$2:$A$29,,0,1)</f>
        <v>67</v>
      </c>
      <c r="D25">
        <v>8</v>
      </c>
      <c r="E25">
        <v>188.142</v>
      </c>
      <c r="F25">
        <v>187.46199999999999</v>
      </c>
      <c r="G25">
        <v>193.1788</v>
      </c>
      <c r="H25">
        <v>191.8116</v>
      </c>
      <c r="I25">
        <v>187.93340000000001</v>
      </c>
      <c r="J25">
        <v>188.03110000000001</v>
      </c>
      <c r="K25">
        <v>187.4622</v>
      </c>
      <c r="L25">
        <v>185.32390000000001</v>
      </c>
      <c r="M25">
        <v>187.40100000000001</v>
      </c>
      <c r="N25" s="13">
        <f t="shared" si="1"/>
        <v>3.6142913331420248E-3</v>
      </c>
      <c r="O25" s="13">
        <f t="shared" si="2"/>
        <v>-2.6771268509955246E-2</v>
      </c>
      <c r="P25" s="13">
        <f t="shared" si="3"/>
        <v>-1.9504416876614486E-2</v>
      </c>
      <c r="Q25" s="13">
        <f t="shared" si="4"/>
        <v>1.1087370177843858E-3</v>
      </c>
      <c r="R25" s="13">
        <f t="shared" si="5"/>
        <v>5.8944839536088001E-4</v>
      </c>
      <c r="S25" s="13">
        <f t="shared" si="6"/>
        <v>3.6132283062793005E-3</v>
      </c>
      <c r="T25" s="13">
        <f t="shared" si="7"/>
        <v>1.4978580008716751E-2</v>
      </c>
      <c r="U25" s="7">
        <f t="shared" si="8"/>
        <v>3.9385145262620016E-3</v>
      </c>
      <c r="V25">
        <v>186.00200000000001</v>
      </c>
      <c r="W25">
        <v>187.45500000000001</v>
      </c>
      <c r="X25">
        <v>191.0419</v>
      </c>
      <c r="Y25">
        <v>191.80410000000001</v>
      </c>
      <c r="Z25">
        <v>187.92609999999999</v>
      </c>
      <c r="AA25">
        <v>188.02090000000001</v>
      </c>
      <c r="AB25">
        <v>187.45500000000001</v>
      </c>
      <c r="AC25">
        <v>185.31639999999999</v>
      </c>
      <c r="AD25">
        <v>187.39320000000001</v>
      </c>
      <c r="AE25" s="14">
        <f>Tabla13[[#This Row],[Calculated HEFT_NC]]/Tabla13[[#This Row],[Real HEFT_NC]]</f>
        <v>0.98862561256922965</v>
      </c>
      <c r="AF25" s="14">
        <f>Tabla13[[#This Row],[Calculated HEFT_DNC]]/Tabla13[[#This Row],[Real HEFT_DNC]]</f>
        <v>0.9999626590989108</v>
      </c>
      <c r="AG25" s="14">
        <f>Tabla13[[#This Row],[Calculated GA_NC]]/Tabla13[[#This Row],[Real GA_NC]]</f>
        <v>0.98893822717606694</v>
      </c>
      <c r="AH25" s="15">
        <f>Tabla13[[#This Row],[Calculated GA_DNC]]/Tabla13[[#This Row],[Real GA_DNC]]</f>
        <v>0.9999608991322736</v>
      </c>
      <c r="AI25" s="15">
        <f>Tabla13[[#This Row],[Calculated HGA_(Ph2)]]/Tabla13[[#This Row],[Real HGA_(Ph2)]]</f>
        <v>0.99996115645223249</v>
      </c>
      <c r="AJ25" s="15">
        <f>Tabla13[[#This Row],[Calculated HGA_(Ph1)]]/Tabla13[[#This Row],[Real HGA_(Ph1)]]</f>
        <v>0.9999457536545816</v>
      </c>
      <c r="AK25" s="15">
        <f>Tabla13[[#This Row],[Calculated HGA^H]]/Tabla13[[#This Row],[Real GA^H]]</f>
        <v>0.9999615922569991</v>
      </c>
      <c r="AL25" s="15">
        <f>Tabla13[[#This Row],[Calculated HGA_(Ph2)^H]]/Tabla13[[#This Row],[Real HGA_(Ph2)^H]]</f>
        <v>0.99995953031422269</v>
      </c>
      <c r="AM25" s="15">
        <f>Tabla13[[#This Row],[Calculated HGA_(Ph1)^H]]/Tabla13[[#This Row],[Real HGA_(Ph1)^H]]</f>
        <v>0.99995837802359644</v>
      </c>
      <c r="AU25"/>
      <c r="AV25"/>
      <c r="AW25"/>
    </row>
    <row r="26" spans="1:49" ht="14.25" customHeight="1">
      <c r="A26" s="6" t="str">
        <f t="shared" si="0"/>
        <v>cycles</v>
      </c>
      <c r="B26" t="s">
        <v>6</v>
      </c>
      <c r="C26">
        <f>_xlfn.XLOOKUP(B26,Instances!$B$2:$B$29,Instances!$A$2:$A$29,,0,1)</f>
        <v>67</v>
      </c>
      <c r="D26">
        <v>16</v>
      </c>
      <c r="E26">
        <v>164.721</v>
      </c>
      <c r="F26">
        <v>163.55199999999999</v>
      </c>
      <c r="G26">
        <v>164.89439999999999</v>
      </c>
      <c r="H26">
        <v>164.1054</v>
      </c>
      <c r="I26">
        <v>163.55099999999999</v>
      </c>
      <c r="J26">
        <v>163.66059999999999</v>
      </c>
      <c r="K26">
        <v>163.55099999999999</v>
      </c>
      <c r="L26">
        <v>163.55099999999999</v>
      </c>
      <c r="M26">
        <v>163.55199999999999</v>
      </c>
      <c r="N26" s="13">
        <f t="shared" si="1"/>
        <v>7.0968486106811586E-3</v>
      </c>
      <c r="O26" s="13">
        <f t="shared" si="2"/>
        <v>-1.0526890924653606E-3</v>
      </c>
      <c r="P26" s="13">
        <f t="shared" si="3"/>
        <v>3.7372284043928859E-3</v>
      </c>
      <c r="Q26" s="13">
        <f t="shared" si="4"/>
        <v>7.1029194820333525E-3</v>
      </c>
      <c r="R26" s="13">
        <f t="shared" si="5"/>
        <v>6.4375519818360471E-3</v>
      </c>
      <c r="S26" s="13">
        <f t="shared" si="6"/>
        <v>7.1029194820333525E-3</v>
      </c>
      <c r="T26" s="13">
        <f t="shared" si="7"/>
        <v>7.1029194820333525E-3</v>
      </c>
      <c r="U26" s="7">
        <f t="shared" si="8"/>
        <v>7.0968486106811586E-3</v>
      </c>
      <c r="V26">
        <v>163.41499999999999</v>
      </c>
      <c r="W26">
        <v>163.548</v>
      </c>
      <c r="X26">
        <v>163.6611</v>
      </c>
      <c r="Y26">
        <v>164.10130000000001</v>
      </c>
      <c r="Z26">
        <v>163.547</v>
      </c>
      <c r="AA26">
        <v>163.65530000000001</v>
      </c>
      <c r="AB26">
        <v>163.547</v>
      </c>
      <c r="AC26">
        <v>163.547</v>
      </c>
      <c r="AD26">
        <v>163.548</v>
      </c>
      <c r="AE26" s="14">
        <f>Tabla13[[#This Row],[Calculated HEFT_NC]]/Tabla13[[#This Row],[Real HEFT_NC]]</f>
        <v>0.99207144201407216</v>
      </c>
      <c r="AF26" s="14">
        <f>Tabla13[[#This Row],[Calculated HEFT_DNC]]/Tabla13[[#This Row],[Real HEFT_DNC]]</f>
        <v>0.99997554294658586</v>
      </c>
      <c r="AG26" s="14">
        <f>Tabla13[[#This Row],[Calculated GA_NC]]/Tabla13[[#This Row],[Real GA_NC]]</f>
        <v>0.99252066777282921</v>
      </c>
      <c r="AH26" s="15">
        <f>Tabla13[[#This Row],[Calculated GA_DNC]]/Tabla13[[#This Row],[Real GA_DNC]]</f>
        <v>0.99997501605675376</v>
      </c>
      <c r="AI26" s="15">
        <f>Tabla13[[#This Row],[Calculated HGA_(Ph2)]]/Tabla13[[#This Row],[Real HGA_(Ph2)]]</f>
        <v>0.99997554279704803</v>
      </c>
      <c r="AJ26" s="15">
        <f>Tabla13[[#This Row],[Calculated HGA_(Ph1)]]/Tabla13[[#This Row],[Real HGA_(Ph1)]]</f>
        <v>0.99996761590755512</v>
      </c>
      <c r="AK26" s="15">
        <f>Tabla13[[#This Row],[Calculated HGA^H]]/Tabla13[[#This Row],[Real GA^H]]</f>
        <v>0.99997554279704803</v>
      </c>
      <c r="AL26" s="15">
        <f>Tabla13[[#This Row],[Calculated HGA_(Ph2)^H]]/Tabla13[[#This Row],[Real HGA_(Ph2)^H]]</f>
        <v>0.99997554279704803</v>
      </c>
      <c r="AM26" s="15">
        <f>Tabla13[[#This Row],[Calculated HGA_(Ph1)^H]]/Tabla13[[#This Row],[Real HGA_(Ph1)^H]]</f>
        <v>0.99997554294658586</v>
      </c>
      <c r="AU26"/>
      <c r="AV26"/>
      <c r="AW26"/>
    </row>
    <row r="27" spans="1:49">
      <c r="A27" s="6" t="str">
        <f t="shared" si="0"/>
        <v>cycles</v>
      </c>
      <c r="B27" t="s">
        <v>7</v>
      </c>
      <c r="C27">
        <f>_xlfn.XLOOKUP(B27,Instances!$B$2:$B$29,Instances!$A$2:$A$29,,0,1)</f>
        <v>437</v>
      </c>
      <c r="D27">
        <v>1</v>
      </c>
      <c r="E27">
        <v>8483.119999999999</v>
      </c>
      <c r="F27">
        <v>8483.1200000000008</v>
      </c>
      <c r="G27">
        <v>8483.119999999999</v>
      </c>
      <c r="H27">
        <v>8483.119999999999</v>
      </c>
      <c r="I27">
        <v>8483.119999999999</v>
      </c>
      <c r="J27">
        <v>8483.119999999999</v>
      </c>
      <c r="K27">
        <v>8483.119999999999</v>
      </c>
      <c r="L27">
        <v>8483.119999999999</v>
      </c>
      <c r="M27">
        <v>8483.119999999999</v>
      </c>
      <c r="N27" s="13">
        <f t="shared" si="1"/>
        <v>-2.1442457533853779E-16</v>
      </c>
      <c r="O27" s="13">
        <f t="shared" si="2"/>
        <v>0</v>
      </c>
      <c r="P27" s="13">
        <f t="shared" si="3"/>
        <v>0</v>
      </c>
      <c r="Q27" s="13">
        <f t="shared" si="4"/>
        <v>0</v>
      </c>
      <c r="R27" s="13">
        <f t="shared" si="5"/>
        <v>0</v>
      </c>
      <c r="S27" s="13">
        <f t="shared" si="6"/>
        <v>0</v>
      </c>
      <c r="T27" s="13">
        <f t="shared" si="7"/>
        <v>0</v>
      </c>
      <c r="U27" s="7">
        <f t="shared" si="8"/>
        <v>0</v>
      </c>
      <c r="V27">
        <v>8307.31</v>
      </c>
      <c r="W27">
        <v>8482.7599999999984</v>
      </c>
      <c r="X27">
        <v>8307.31</v>
      </c>
      <c r="Y27">
        <v>8482.7599999999984</v>
      </c>
      <c r="Z27">
        <v>8482.7599999999984</v>
      </c>
      <c r="AA27">
        <v>8482.7599999999984</v>
      </c>
      <c r="AB27">
        <v>8482.7599999999984</v>
      </c>
      <c r="AC27">
        <v>8482.7599999999984</v>
      </c>
      <c r="AD27">
        <v>8482.7599999999984</v>
      </c>
      <c r="AE27" s="14">
        <f>Tabla13[[#This Row],[Calculated HEFT_NC]]/Tabla13[[#This Row],[Real HEFT_NC]]</f>
        <v>0.97927531379963983</v>
      </c>
      <c r="AF27" s="14">
        <f>Tabla13[[#This Row],[Calculated HEFT_DNC]]/Tabla13[[#This Row],[Real HEFT_DNC]]</f>
        <v>0.99995756278350389</v>
      </c>
      <c r="AG27" s="14">
        <f>Tabla13[[#This Row],[Calculated GA_NC]]/Tabla13[[#This Row],[Real GA_NC]]</f>
        <v>0.97927531379963983</v>
      </c>
      <c r="AH27" s="15">
        <f>Tabla13[[#This Row],[Calculated GA_DNC]]/Tabla13[[#This Row],[Real GA_DNC]]</f>
        <v>0.99995756278350412</v>
      </c>
      <c r="AI27" s="15">
        <f>Tabla13[[#This Row],[Calculated HGA_(Ph2)]]/Tabla13[[#This Row],[Real HGA_(Ph2)]]</f>
        <v>0.99995756278350412</v>
      </c>
      <c r="AJ27" s="15">
        <f>Tabla13[[#This Row],[Calculated HGA_(Ph1)]]/Tabla13[[#This Row],[Real HGA_(Ph1)]]</f>
        <v>0.99995756278350412</v>
      </c>
      <c r="AK27" s="15">
        <f>Tabla13[[#This Row],[Calculated HGA^H]]/Tabla13[[#This Row],[Real GA^H]]</f>
        <v>0.99995756278350412</v>
      </c>
      <c r="AL27" s="15">
        <f>Tabla13[[#This Row],[Calculated HGA_(Ph2)^H]]/Tabla13[[#This Row],[Real HGA_(Ph2)^H]]</f>
        <v>0.99995756278350412</v>
      </c>
      <c r="AM27" s="15">
        <f>Tabla13[[#This Row],[Calculated HGA_(Ph1)^H]]/Tabla13[[#This Row],[Real HGA_(Ph1)^H]]</f>
        <v>0.99995756278350412</v>
      </c>
      <c r="AU27"/>
      <c r="AV27"/>
      <c r="AW27"/>
    </row>
    <row r="28" spans="1:49">
      <c r="A28" s="6" t="str">
        <f t="shared" si="0"/>
        <v>cycles</v>
      </c>
      <c r="B28" t="s">
        <v>7</v>
      </c>
      <c r="C28">
        <f>_xlfn.XLOOKUP(B28,Instances!$B$2:$B$29,Instances!$A$2:$A$29,,0,1)</f>
        <v>437</v>
      </c>
      <c r="D28">
        <v>2</v>
      </c>
      <c r="E28">
        <v>4240.1400000000003</v>
      </c>
      <c r="F28">
        <v>4202.3000000000011</v>
      </c>
      <c r="G28">
        <v>4243.7139999999999</v>
      </c>
      <c r="H28">
        <v>4201.8500000000004</v>
      </c>
      <c r="I28">
        <v>4191.4430000000002</v>
      </c>
      <c r="J28">
        <v>4201.286000000001</v>
      </c>
      <c r="K28">
        <v>4201.75</v>
      </c>
      <c r="L28">
        <v>4190.6540000000005</v>
      </c>
      <c r="M28">
        <v>4201.3779999999997</v>
      </c>
      <c r="N28" s="13">
        <f t="shared" si="1"/>
        <v>8.9242336337949299E-3</v>
      </c>
      <c r="O28" s="13">
        <f t="shared" si="2"/>
        <v>-8.4289669680708988E-4</v>
      </c>
      <c r="P28" s="13">
        <f t="shared" si="3"/>
        <v>9.0303622050215224E-3</v>
      </c>
      <c r="Q28" s="13">
        <f t="shared" si="4"/>
        <v>1.1484762295584606E-2</v>
      </c>
      <c r="R28" s="13">
        <f t="shared" si="5"/>
        <v>9.1633766809584953E-3</v>
      </c>
      <c r="S28" s="13">
        <f t="shared" si="6"/>
        <v>9.0539463319608132E-3</v>
      </c>
      <c r="T28" s="13">
        <f t="shared" si="7"/>
        <v>1.1670841057134876E-2</v>
      </c>
      <c r="U28" s="7">
        <f t="shared" si="8"/>
        <v>9.1416792841747252E-3</v>
      </c>
      <c r="V28">
        <v>4153.6900000000014</v>
      </c>
      <c r="W28">
        <v>4202.0899999999992</v>
      </c>
      <c r="X28">
        <v>4154.3639999999996</v>
      </c>
      <c r="Y28">
        <v>4201.6370000000006</v>
      </c>
      <c r="Z28">
        <v>4191.1910000000007</v>
      </c>
      <c r="AA28">
        <v>4201.0609999999997</v>
      </c>
      <c r="AB28">
        <v>4201.5320000000002</v>
      </c>
      <c r="AC28">
        <v>4190.3879999999999</v>
      </c>
      <c r="AD28">
        <v>4201.1460000000006</v>
      </c>
      <c r="AE28" s="14">
        <f>Tabla13[[#This Row],[Calculated HEFT_NC]]/Tabla13[[#This Row],[Real HEFT_NC]]</f>
        <v>0.97961152226105763</v>
      </c>
      <c r="AF28" s="14">
        <f>Tabla13[[#This Row],[Calculated HEFT_DNC]]/Tabla13[[#This Row],[Real HEFT_DNC]]</f>
        <v>0.99995002736596583</v>
      </c>
      <c r="AG28" s="14">
        <f>Tabla13[[#This Row],[Calculated GA_NC]]/Tabla13[[#This Row],[Real GA_NC]]</f>
        <v>0.97894532949204394</v>
      </c>
      <c r="AH28" s="15">
        <f>Tabla13[[#This Row],[Calculated GA_DNC]]/Tabla13[[#This Row],[Real GA_DNC]]</f>
        <v>0.99994930804288595</v>
      </c>
      <c r="AI28" s="15">
        <f>Tabla13[[#This Row],[Calculated HGA_(Ph2)]]/Tabla13[[#This Row],[Real HGA_(Ph2)]]</f>
        <v>0.99993987750757929</v>
      </c>
      <c r="AJ28" s="15">
        <f>Tabla13[[#This Row],[Calculated HGA_(Ph1)]]/Tabla13[[#This Row],[Real HGA_(Ph1)]]</f>
        <v>0.99994644496946861</v>
      </c>
      <c r="AK28" s="15">
        <f>Tabla13[[#This Row],[Calculated HGA^H]]/Tabla13[[#This Row],[Real GA^H]]</f>
        <v>0.99994811685607188</v>
      </c>
      <c r="AL28" s="15">
        <f>Tabla13[[#This Row],[Calculated HGA_(Ph2)^H]]/Tabla13[[#This Row],[Real HGA_(Ph2)^H]]</f>
        <v>0.9999365254206144</v>
      </c>
      <c r="AM28" s="15">
        <f>Tabla13[[#This Row],[Calculated HGA_(Ph1)^H]]/Tabla13[[#This Row],[Real HGA_(Ph1)^H]]</f>
        <v>0.99994478002217391</v>
      </c>
      <c r="AU28"/>
      <c r="AV28"/>
      <c r="AW28"/>
    </row>
    <row r="29" spans="1:49">
      <c r="A29" s="6" t="str">
        <f t="shared" si="0"/>
        <v>cycles</v>
      </c>
      <c r="B29" t="s">
        <v>7</v>
      </c>
      <c r="C29">
        <f>_xlfn.XLOOKUP(B29,Instances!$B$2:$B$29,Instances!$A$2:$A$29,,0,1)</f>
        <v>437</v>
      </c>
      <c r="D29">
        <v>4</v>
      </c>
      <c r="E29">
        <v>2119.9899999999998</v>
      </c>
      <c r="F29">
        <v>2100.73</v>
      </c>
      <c r="G29">
        <v>2182.9520000000002</v>
      </c>
      <c r="H29">
        <v>2172.328</v>
      </c>
      <c r="I29">
        <v>2116.2069999999999</v>
      </c>
      <c r="J29">
        <v>2139.438000000001</v>
      </c>
      <c r="K29">
        <v>2100.6729999999998</v>
      </c>
      <c r="L29">
        <v>2097.1489999999999</v>
      </c>
      <c r="M29">
        <v>2100.73</v>
      </c>
      <c r="N29" s="13">
        <f t="shared" si="1"/>
        <v>9.0849485139079741E-3</v>
      </c>
      <c r="O29" s="13">
        <f t="shared" si="2"/>
        <v>-2.9699196694324241E-2</v>
      </c>
      <c r="P29" s="13">
        <f t="shared" si="3"/>
        <v>-2.4687852301190194E-2</v>
      </c>
      <c r="Q29" s="13">
        <f t="shared" si="4"/>
        <v>1.7844423794451398E-3</v>
      </c>
      <c r="R29" s="13">
        <f t="shared" si="5"/>
        <v>-9.1736281774919843E-3</v>
      </c>
      <c r="S29" s="13">
        <f t="shared" si="6"/>
        <v>9.1118354331860101E-3</v>
      </c>
      <c r="T29" s="13">
        <f t="shared" si="7"/>
        <v>1.0774107425034976E-2</v>
      </c>
      <c r="U29" s="7">
        <f t="shared" si="8"/>
        <v>9.0849485139079741E-3</v>
      </c>
      <c r="V29">
        <v>2076.91</v>
      </c>
      <c r="W29">
        <v>2100.61</v>
      </c>
      <c r="X29">
        <v>2139.420000000001</v>
      </c>
      <c r="Y29">
        <v>2172.221</v>
      </c>
      <c r="Z29">
        <v>2116.087</v>
      </c>
      <c r="AA29">
        <v>2139.3209999999999</v>
      </c>
      <c r="AB29">
        <v>2100.56</v>
      </c>
      <c r="AC29">
        <v>2097.018</v>
      </c>
      <c r="AD29">
        <v>2100.61</v>
      </c>
      <c r="AE29" s="14">
        <f>Tabla13[[#This Row],[Calculated HEFT_NC]]/Tabla13[[#This Row],[Real HEFT_NC]]</f>
        <v>0.97967914942995016</v>
      </c>
      <c r="AF29" s="14">
        <f>Tabla13[[#This Row],[Calculated HEFT_DNC]]/Tabla13[[#This Row],[Real HEFT_DNC]]</f>
        <v>0.99994287699990003</v>
      </c>
      <c r="AG29" s="14">
        <f>Tabla13[[#This Row],[Calculated GA_NC]]/Tabla13[[#This Row],[Real GA_NC]]</f>
        <v>0.98005819642392533</v>
      </c>
      <c r="AH29" s="15">
        <f>Tabla13[[#This Row],[Calculated GA_DNC]]/Tabla13[[#This Row],[Real GA_DNC]]</f>
        <v>0.9999507440865284</v>
      </c>
      <c r="AI29" s="15">
        <f>Tabla13[[#This Row],[Calculated HGA_(Ph2)]]/Tabla13[[#This Row],[Real HGA_(Ph2)]]</f>
        <v>0.99994329477220334</v>
      </c>
      <c r="AJ29" s="15">
        <f>Tabla13[[#This Row],[Calculated HGA_(Ph1)]]/Tabla13[[#This Row],[Real HGA_(Ph1)]]</f>
        <v>0.99994531274100906</v>
      </c>
      <c r="AK29" s="15">
        <f>Tabla13[[#This Row],[Calculated HGA^H]]/Tabla13[[#This Row],[Real GA^H]]</f>
        <v>0.99994620771533704</v>
      </c>
      <c r="AL29" s="15">
        <f>Tabla13[[#This Row],[Calculated HGA_(Ph2)^H]]/Tabla13[[#This Row],[Real HGA_(Ph2)^H]]</f>
        <v>0.99993753424291743</v>
      </c>
      <c r="AM29" s="15">
        <f>Tabla13[[#This Row],[Calculated HGA_(Ph1)^H]]/Tabla13[[#This Row],[Real HGA_(Ph1)^H]]</f>
        <v>0.99994287699990003</v>
      </c>
      <c r="AU29"/>
      <c r="AV29"/>
      <c r="AW29"/>
    </row>
    <row r="30" spans="1:49">
      <c r="A30" s="6" t="str">
        <f t="shared" si="0"/>
        <v>cycles</v>
      </c>
      <c r="B30" t="s">
        <v>7</v>
      </c>
      <c r="C30">
        <f>_xlfn.XLOOKUP(B30,Instances!$B$2:$B$29,Instances!$A$2:$A$29,,0,1)</f>
        <v>437</v>
      </c>
      <c r="D30">
        <v>8</v>
      </c>
      <c r="E30">
        <v>1062.19</v>
      </c>
      <c r="F30">
        <v>1050.78</v>
      </c>
      <c r="G30">
        <v>1181.29</v>
      </c>
      <c r="H30">
        <v>1173.3140000000001</v>
      </c>
      <c r="I30">
        <v>1118.971</v>
      </c>
      <c r="J30">
        <v>1133.521</v>
      </c>
      <c r="K30">
        <v>1050.7149999999999</v>
      </c>
      <c r="L30">
        <v>1049.1859999999999</v>
      </c>
      <c r="M30">
        <v>1050.78</v>
      </c>
      <c r="N30" s="13">
        <f t="shared" si="1"/>
        <v>1.0741957653527224E-2</v>
      </c>
      <c r="O30" s="13">
        <f t="shared" si="2"/>
        <v>-0.11212683229930606</v>
      </c>
      <c r="P30" s="13">
        <f t="shared" si="3"/>
        <v>-0.10461781790451805</v>
      </c>
      <c r="Q30" s="13">
        <f t="shared" si="4"/>
        <v>-5.3456537907530619E-2</v>
      </c>
      <c r="R30" s="13">
        <f t="shared" si="5"/>
        <v>-6.7154652180871507E-2</v>
      </c>
      <c r="S30" s="13">
        <f t="shared" si="6"/>
        <v>1.0803151978459725E-2</v>
      </c>
      <c r="T30" s="13">
        <f t="shared" si="7"/>
        <v>1.2242630791101529E-2</v>
      </c>
      <c r="U30" s="7">
        <f t="shared" si="8"/>
        <v>1.0741957653527224E-2</v>
      </c>
      <c r="V30">
        <v>1038.79</v>
      </c>
      <c r="W30">
        <v>1050.71</v>
      </c>
      <c r="X30">
        <v>1159.607</v>
      </c>
      <c r="Y30">
        <v>1173.252</v>
      </c>
      <c r="Z30">
        <v>1118.9110000000001</v>
      </c>
      <c r="AA30">
        <v>1133.4480000000001</v>
      </c>
      <c r="AB30">
        <v>1050.6479999999999</v>
      </c>
      <c r="AC30">
        <v>1049.117</v>
      </c>
      <c r="AD30">
        <v>1050.71</v>
      </c>
      <c r="AE30" s="14">
        <f>Tabla13[[#This Row],[Calculated HEFT_NC]]/Tabla13[[#This Row],[Real HEFT_NC]]</f>
        <v>0.97797004302431756</v>
      </c>
      <c r="AF30" s="14">
        <f>Tabla13[[#This Row],[Calculated HEFT_DNC]]/Tabla13[[#This Row],[Real HEFT_DNC]]</f>
        <v>0.99993338282038113</v>
      </c>
      <c r="AG30" s="14">
        <f>Tabla13[[#This Row],[Calculated GA_NC]]/Tabla13[[#This Row],[Real GA_NC]]</f>
        <v>0.98164464272109309</v>
      </c>
      <c r="AH30" s="15">
        <f>Tabla13[[#This Row],[Calculated GA_DNC]]/Tabla13[[#This Row],[Real GA_DNC]]</f>
        <v>0.99994715822022062</v>
      </c>
      <c r="AI30" s="15">
        <f>Tabla13[[#This Row],[Calculated HGA_(Ph2)]]/Tabla13[[#This Row],[Real HGA_(Ph2)]]</f>
        <v>0.99994637930741725</v>
      </c>
      <c r="AJ30" s="15">
        <f>Tabla13[[#This Row],[Calculated HGA_(Ph1)]]/Tabla13[[#This Row],[Real HGA_(Ph1)]]</f>
        <v>0.99993559889935879</v>
      </c>
      <c r="AK30" s="15">
        <f>Tabla13[[#This Row],[Calculated HGA^H]]/Tabla13[[#This Row],[Real GA^H]]</f>
        <v>0.99993623389786956</v>
      </c>
      <c r="AL30" s="15">
        <f>Tabla13[[#This Row],[Calculated HGA_(Ph2)^H]]/Tabla13[[#This Row],[Real HGA_(Ph2)^H]]</f>
        <v>0.99993423473054355</v>
      </c>
      <c r="AM30" s="15">
        <f>Tabla13[[#This Row],[Calculated HGA_(Ph1)^H]]/Tabla13[[#This Row],[Real HGA_(Ph1)^H]]</f>
        <v>0.99993338282038113</v>
      </c>
      <c r="AU30"/>
      <c r="AV30"/>
      <c r="AW30"/>
    </row>
    <row r="31" spans="1:49">
      <c r="A31" s="6" t="str">
        <f t="shared" si="0"/>
        <v>cycles</v>
      </c>
      <c r="B31" t="s">
        <v>7</v>
      </c>
      <c r="C31">
        <f>_xlfn.XLOOKUP(B31,Instances!$B$2:$B$29,Instances!$A$2:$A$29,,0,1)</f>
        <v>437</v>
      </c>
      <c r="D31">
        <v>16</v>
      </c>
      <c r="E31">
        <v>553.00600000000009</v>
      </c>
      <c r="F31">
        <v>549.18899999999996</v>
      </c>
      <c r="G31">
        <v>675.17589999999996</v>
      </c>
      <c r="H31">
        <v>674.49889999999994</v>
      </c>
      <c r="I31">
        <v>639.4819</v>
      </c>
      <c r="J31">
        <v>632.84339999999997</v>
      </c>
      <c r="K31">
        <v>549.18819999999994</v>
      </c>
      <c r="L31">
        <v>548.26999999999987</v>
      </c>
      <c r="M31">
        <v>549.18900000000008</v>
      </c>
      <c r="N31" s="13">
        <f t="shared" si="1"/>
        <v>6.9022759246737293E-3</v>
      </c>
      <c r="O31" s="13">
        <f t="shared" si="2"/>
        <v>-0.22091966452443526</v>
      </c>
      <c r="P31" s="13">
        <f t="shared" si="3"/>
        <v>-0.21969544634235402</v>
      </c>
      <c r="Q31" s="13">
        <f t="shared" si="4"/>
        <v>-0.15637425272058511</v>
      </c>
      <c r="R31" s="13">
        <f t="shared" si="5"/>
        <v>-0.14436986217147713</v>
      </c>
      <c r="S31" s="13">
        <f t="shared" si="6"/>
        <v>6.9037225635890879E-3</v>
      </c>
      <c r="T31" s="13">
        <f t="shared" si="7"/>
        <v>8.5641023786364283E-3</v>
      </c>
      <c r="U31" s="7">
        <f t="shared" si="8"/>
        <v>6.9022759246735238E-3</v>
      </c>
      <c r="V31">
        <v>545.67200000000014</v>
      </c>
      <c r="W31">
        <v>549.16499999999996</v>
      </c>
      <c r="X31">
        <v>665.4239</v>
      </c>
      <c r="Y31">
        <v>674.46590000000003</v>
      </c>
      <c r="Z31">
        <v>639.44910000000004</v>
      </c>
      <c r="AA31">
        <v>632.80359999999996</v>
      </c>
      <c r="AB31">
        <v>549.1647999999999</v>
      </c>
      <c r="AC31">
        <v>548.24469999999997</v>
      </c>
      <c r="AD31">
        <v>549.16499999999996</v>
      </c>
      <c r="AE31" s="14">
        <f>Tabla13[[#This Row],[Calculated HEFT_NC]]/Tabla13[[#This Row],[Real HEFT_NC]]</f>
        <v>0.9867379377438944</v>
      </c>
      <c r="AF31" s="14">
        <f>Tabla13[[#This Row],[Calculated HEFT_DNC]]/Tabla13[[#This Row],[Real HEFT_DNC]]</f>
        <v>0.99995629919754403</v>
      </c>
      <c r="AG31" s="14">
        <f>Tabla13[[#This Row],[Calculated GA_NC]]/Tabla13[[#This Row],[Real GA_NC]]</f>
        <v>0.98555635649909901</v>
      </c>
      <c r="AH31" s="15">
        <f>Tabla13[[#This Row],[Calculated GA_DNC]]/Tabla13[[#This Row],[Real GA_DNC]]</f>
        <v>0.99995107479048539</v>
      </c>
      <c r="AI31" s="15">
        <f>Tabla13[[#This Row],[Calculated HGA_(Ph2)]]/Tabla13[[#This Row],[Real HGA_(Ph2)]]</f>
        <v>0.99994870847791006</v>
      </c>
      <c r="AJ31" s="15">
        <f>Tabla13[[#This Row],[Calculated HGA_(Ph1)]]/Tabla13[[#This Row],[Real HGA_(Ph1)]]</f>
        <v>0.99993710924377177</v>
      </c>
      <c r="AK31" s="15">
        <f>Tabla13[[#This Row],[Calculated HGA^H]]/Tabla13[[#This Row],[Real GA^H]]</f>
        <v>0.9999573916555381</v>
      </c>
      <c r="AL31" s="15">
        <f>Tabla13[[#This Row],[Calculated HGA_(Ph2)^H]]/Tabla13[[#This Row],[Real HGA_(Ph2)^H]]</f>
        <v>0.99995385485253629</v>
      </c>
      <c r="AM31" s="15">
        <f>Tabla13[[#This Row],[Calculated HGA_(Ph1)^H]]/Tabla13[[#This Row],[Real HGA_(Ph1)^H]]</f>
        <v>0.99995629919754381</v>
      </c>
      <c r="AU31"/>
      <c r="AV31"/>
      <c r="AW31"/>
    </row>
    <row r="32" spans="1:49">
      <c r="A32" s="6" t="str">
        <f t="shared" si="0"/>
        <v>cycles</v>
      </c>
      <c r="B32" t="s">
        <v>8</v>
      </c>
      <c r="C32">
        <f>_xlfn.XLOOKUP(B32,Instances!$B$2:$B$29,Instances!$A$2:$A$29,,0,1)</f>
        <v>133</v>
      </c>
      <c r="D32">
        <v>1</v>
      </c>
      <c r="E32">
        <v>3719.25</v>
      </c>
      <c r="F32">
        <v>3719.25</v>
      </c>
      <c r="G32">
        <v>3719.25</v>
      </c>
      <c r="H32">
        <v>3719.25</v>
      </c>
      <c r="I32">
        <v>3719.25</v>
      </c>
      <c r="J32">
        <v>3719.25</v>
      </c>
      <c r="K32">
        <v>3719.25</v>
      </c>
      <c r="L32">
        <v>3719.25</v>
      </c>
      <c r="M32">
        <v>3719.25</v>
      </c>
      <c r="N32" s="13">
        <f t="shared" si="1"/>
        <v>0</v>
      </c>
      <c r="O32" s="13">
        <f t="shared" si="2"/>
        <v>0</v>
      </c>
      <c r="P32" s="13">
        <f t="shared" si="3"/>
        <v>0</v>
      </c>
      <c r="Q32" s="13">
        <f t="shared" si="4"/>
        <v>0</v>
      </c>
      <c r="R32" s="13">
        <f t="shared" si="5"/>
        <v>0</v>
      </c>
      <c r="S32" s="13">
        <f t="shared" si="6"/>
        <v>0</v>
      </c>
      <c r="T32" s="13">
        <f t="shared" si="7"/>
        <v>0</v>
      </c>
      <c r="U32" s="7">
        <f t="shared" si="8"/>
        <v>0</v>
      </c>
      <c r="V32">
        <v>3666.6799999999989</v>
      </c>
      <c r="W32">
        <v>3719.14</v>
      </c>
      <c r="X32">
        <v>3666.6799999999989</v>
      </c>
      <c r="Y32">
        <v>3719.14</v>
      </c>
      <c r="Z32">
        <v>3719.14</v>
      </c>
      <c r="AA32">
        <v>3719.14</v>
      </c>
      <c r="AB32">
        <v>3719.14</v>
      </c>
      <c r="AC32">
        <v>3719.14</v>
      </c>
      <c r="AD32">
        <v>3719.14</v>
      </c>
      <c r="AE32" s="14">
        <f>Tabla13[[#This Row],[Calculated HEFT_NC]]/Tabla13[[#This Row],[Real HEFT_NC]]</f>
        <v>0.98586542985817005</v>
      </c>
      <c r="AF32" s="14">
        <f>Tabla13[[#This Row],[Calculated HEFT_DNC]]/Tabla13[[#This Row],[Real HEFT_DNC]]</f>
        <v>0.99997042414465276</v>
      </c>
      <c r="AG32" s="14">
        <f>Tabla13[[#This Row],[Calculated GA_NC]]/Tabla13[[#This Row],[Real GA_NC]]</f>
        <v>0.98586542985817005</v>
      </c>
      <c r="AH32" s="15">
        <f>Tabla13[[#This Row],[Calculated GA_DNC]]/Tabla13[[#This Row],[Real GA_DNC]]</f>
        <v>0.99997042414465276</v>
      </c>
      <c r="AI32" s="15">
        <f>Tabla13[[#This Row],[Calculated HGA_(Ph2)]]/Tabla13[[#This Row],[Real HGA_(Ph2)]]</f>
        <v>0.99997042414465276</v>
      </c>
      <c r="AJ32" s="15">
        <f>Tabla13[[#This Row],[Calculated HGA_(Ph1)]]/Tabla13[[#This Row],[Real HGA_(Ph1)]]</f>
        <v>0.99997042414465276</v>
      </c>
      <c r="AK32" s="15">
        <f>Tabla13[[#This Row],[Calculated HGA^H]]/Tabla13[[#This Row],[Real GA^H]]</f>
        <v>0.99997042414465276</v>
      </c>
      <c r="AL32" s="15">
        <f>Tabla13[[#This Row],[Calculated HGA_(Ph2)^H]]/Tabla13[[#This Row],[Real HGA_(Ph2)^H]]</f>
        <v>0.99997042414465276</v>
      </c>
      <c r="AM32" s="15">
        <f>Tabla13[[#This Row],[Calculated HGA_(Ph1)^H]]/Tabla13[[#This Row],[Real HGA_(Ph1)^H]]</f>
        <v>0.99997042414465276</v>
      </c>
      <c r="AU32"/>
      <c r="AV32"/>
      <c r="AW32"/>
    </row>
    <row r="33" spans="1:49">
      <c r="A33" s="6" t="str">
        <f t="shared" si="0"/>
        <v>cycles</v>
      </c>
      <c r="B33" t="s">
        <v>8</v>
      </c>
      <c r="C33">
        <f>_xlfn.XLOOKUP(B33,Instances!$B$2:$B$29,Instances!$A$2:$A$29,,0,1)</f>
        <v>133</v>
      </c>
      <c r="D33">
        <v>2</v>
      </c>
      <c r="E33">
        <v>1855.62</v>
      </c>
      <c r="F33">
        <v>1849.2</v>
      </c>
      <c r="G33">
        <v>1859.931</v>
      </c>
      <c r="H33">
        <v>1847.69</v>
      </c>
      <c r="I33">
        <v>1845.163</v>
      </c>
      <c r="J33">
        <v>1847.394</v>
      </c>
      <c r="K33">
        <v>1847.6890000000001</v>
      </c>
      <c r="L33">
        <v>1845.0329999999999</v>
      </c>
      <c r="M33">
        <v>1847.25</v>
      </c>
      <c r="N33" s="13">
        <f t="shared" si="1"/>
        <v>3.4597600801887485E-3</v>
      </c>
      <c r="O33" s="13">
        <f t="shared" si="2"/>
        <v>-2.3232127267437024E-3</v>
      </c>
      <c r="P33" s="13">
        <f t="shared" si="3"/>
        <v>4.2735042735041855E-3</v>
      </c>
      <c r="Q33" s="13">
        <f t="shared" si="4"/>
        <v>5.6353132645691898E-3</v>
      </c>
      <c r="R33" s="13">
        <f t="shared" si="5"/>
        <v>4.4330196915316096E-3</v>
      </c>
      <c r="S33" s="13">
        <f t="shared" si="6"/>
        <v>4.2740431769434546E-3</v>
      </c>
      <c r="T33" s="13">
        <f t="shared" si="7"/>
        <v>5.7053707116758766E-3</v>
      </c>
      <c r="U33" s="7">
        <f t="shared" si="8"/>
        <v>4.5106217867881843E-3</v>
      </c>
      <c r="V33">
        <v>1837.49</v>
      </c>
      <c r="W33">
        <v>1849.14</v>
      </c>
      <c r="X33">
        <v>1833.34</v>
      </c>
      <c r="Y33">
        <v>1847.627</v>
      </c>
      <c r="Z33">
        <v>1845.085</v>
      </c>
      <c r="AA33">
        <v>1847.3320000000001</v>
      </c>
      <c r="AB33">
        <v>1847.624</v>
      </c>
      <c r="AC33">
        <v>1844.9590000000001</v>
      </c>
      <c r="AD33">
        <v>1847.1880000000001</v>
      </c>
      <c r="AE33" s="14">
        <f>Tabla13[[#This Row],[Calculated HEFT_NC]]/Tabla13[[#This Row],[Real HEFT_NC]]</f>
        <v>0.99022968064582195</v>
      </c>
      <c r="AF33" s="14">
        <f>Tabla13[[#This Row],[Calculated HEFT_DNC]]/Tabla13[[#This Row],[Real HEFT_DNC]]</f>
        <v>0.99996755353666456</v>
      </c>
      <c r="AG33" s="14">
        <f>Tabla13[[#This Row],[Calculated GA_NC]]/Tabla13[[#This Row],[Real GA_NC]]</f>
        <v>0.98570323307692587</v>
      </c>
      <c r="AH33" s="15">
        <f>Tabla13[[#This Row],[Calculated GA_DNC]]/Tabla13[[#This Row],[Real GA_DNC]]</f>
        <v>0.99996590337123648</v>
      </c>
      <c r="AI33" s="15">
        <f>Tabla13[[#This Row],[Calculated HGA_(Ph2)]]/Tabla13[[#This Row],[Real HGA_(Ph2)]]</f>
        <v>0.99995772731189603</v>
      </c>
      <c r="AJ33" s="15">
        <f>Tabla13[[#This Row],[Calculated HGA_(Ph1)]]/Tabla13[[#This Row],[Real HGA_(Ph1)]]</f>
        <v>0.9999664392111266</v>
      </c>
      <c r="AK33" s="15">
        <f>Tabla13[[#This Row],[Calculated HGA^H]]/Tabla13[[#This Row],[Real GA^H]]</f>
        <v>0.99996482091953787</v>
      </c>
      <c r="AL33" s="15">
        <f>Tabla13[[#This Row],[Calculated HGA_(Ph2)^H]]/Tabla13[[#This Row],[Real HGA_(Ph2)^H]]</f>
        <v>0.99995989231628923</v>
      </c>
      <c r="AM33" s="15">
        <f>Tabla13[[#This Row],[Calculated HGA_(Ph1)^H]]/Tabla13[[#This Row],[Real HGA_(Ph1)^H]]</f>
        <v>0.99996643659493845</v>
      </c>
      <c r="AU33"/>
      <c r="AV33"/>
      <c r="AW33"/>
    </row>
    <row r="34" spans="1:49">
      <c r="A34" s="6" t="str">
        <f t="shared" ref="A34:A65" si="9">LEFT(B34,FIND("-",B34)-1)</f>
        <v>cycles</v>
      </c>
      <c r="B34" t="s">
        <v>8</v>
      </c>
      <c r="C34">
        <f>_xlfn.XLOOKUP(B34,Instances!$B$2:$B$29,Instances!$A$2:$A$29,,0,1)</f>
        <v>133</v>
      </c>
      <c r="D34">
        <v>4</v>
      </c>
      <c r="E34">
        <v>930.85799999999995</v>
      </c>
      <c r="F34">
        <v>926.13099999999997</v>
      </c>
      <c r="G34">
        <v>936.03950000000009</v>
      </c>
      <c r="H34">
        <v>929.02870000000007</v>
      </c>
      <c r="I34">
        <v>925.95280000000002</v>
      </c>
      <c r="J34">
        <v>942.54299999999989</v>
      </c>
      <c r="K34">
        <v>925.54320000000007</v>
      </c>
      <c r="L34">
        <v>923.12400000000014</v>
      </c>
      <c r="M34">
        <v>926.13099999999997</v>
      </c>
      <c r="N34" s="13">
        <f t="shared" ref="N34:N65" si="10">(($E34-F34)/$E34)</f>
        <v>5.0781107322491461E-3</v>
      </c>
      <c r="O34" s="13">
        <f t="shared" ref="O34:O65" si="11">(($E34-G34)/$E34)</f>
        <v>-5.5663699511634881E-3</v>
      </c>
      <c r="P34" s="13">
        <f t="shared" ref="P34:P65" si="12">(($E34-H34)/$E34)</f>
        <v>1.9651762137725365E-3</v>
      </c>
      <c r="Q34" s="13">
        <f t="shared" ref="Q34:Q65" si="13">(($E34-I34)/$E34)</f>
        <v>5.2695470200609792E-3</v>
      </c>
      <c r="R34" s="13">
        <f t="shared" ref="R34:R65" si="14">(($E34-J34)/$E34)</f>
        <v>-1.2552935034129745E-2</v>
      </c>
      <c r="S34" s="13">
        <f t="shared" ref="S34:S65" si="15">(($E34-K34)/$E34)</f>
        <v>5.7095711698238374E-3</v>
      </c>
      <c r="T34" s="13">
        <f t="shared" ref="T34:T65" si="16">(($E34-L34)/$E34)</f>
        <v>8.3084638043609341E-3</v>
      </c>
      <c r="U34" s="7">
        <f t="shared" ref="U34:U65" si="17">(($E34-M34)/$E34)</f>
        <v>5.0781107322491461E-3</v>
      </c>
      <c r="V34">
        <v>917.81600000000014</v>
      </c>
      <c r="W34">
        <v>926.09599999999989</v>
      </c>
      <c r="X34">
        <v>923.62389999999994</v>
      </c>
      <c r="Y34">
        <v>928.99939999999992</v>
      </c>
      <c r="Z34">
        <v>925.9190000000001</v>
      </c>
      <c r="AA34">
        <v>942.50740000000008</v>
      </c>
      <c r="AB34">
        <v>925.50710000000004</v>
      </c>
      <c r="AC34">
        <v>923.0838</v>
      </c>
      <c r="AD34">
        <v>926.09599999999989</v>
      </c>
      <c r="AE34" s="14">
        <f>Tabla13[[#This Row],[Calculated HEFT_NC]]/Tabla13[[#This Row],[Real HEFT_NC]]</f>
        <v>0.98598927011423887</v>
      </c>
      <c r="AF34" s="14">
        <f>Tabla13[[#This Row],[Calculated HEFT_DNC]]/Tabla13[[#This Row],[Real HEFT_DNC]]</f>
        <v>0.99996220837009009</v>
      </c>
      <c r="AG34" s="14">
        <f>Tabla13[[#This Row],[Calculated GA_NC]]/Tabla13[[#This Row],[Real GA_NC]]</f>
        <v>0.98673602983634756</v>
      </c>
      <c r="AH34" s="15">
        <f>Tabla13[[#This Row],[Calculated GA_DNC]]/Tabla13[[#This Row],[Real GA_DNC]]</f>
        <v>0.99996846168476805</v>
      </c>
      <c r="AI34" s="15">
        <f>Tabla13[[#This Row],[Calculated HGA_(Ph2)]]/Tabla13[[#This Row],[Real HGA_(Ph2)]]</f>
        <v>0.99996349705946141</v>
      </c>
      <c r="AJ34" s="15">
        <f>Tabla13[[#This Row],[Calculated HGA_(Ph1)]]/Tabla13[[#This Row],[Real HGA_(Ph1)]]</f>
        <v>0.99996222983991201</v>
      </c>
      <c r="AK34" s="15">
        <f>Tabla13[[#This Row],[Calculated HGA^H]]/Tabla13[[#This Row],[Real GA^H]]</f>
        <v>0.99996099587788012</v>
      </c>
      <c r="AL34" s="15">
        <f>Tabla13[[#This Row],[Calculated HGA_(Ph2)^H]]/Tabla13[[#This Row],[Real HGA_(Ph2)^H]]</f>
        <v>0.99995645222093654</v>
      </c>
      <c r="AM34" s="15">
        <f>Tabla13[[#This Row],[Calculated HGA_(Ph1)^H]]/Tabla13[[#This Row],[Real HGA_(Ph1)^H]]</f>
        <v>0.99996220837009009</v>
      </c>
      <c r="AU34"/>
      <c r="AV34"/>
      <c r="AW34"/>
    </row>
    <row r="35" spans="1:49">
      <c r="A35" s="6" t="str">
        <f t="shared" si="9"/>
        <v>cycles</v>
      </c>
      <c r="B35" t="s">
        <v>8</v>
      </c>
      <c r="C35">
        <f>_xlfn.XLOOKUP(B35,Instances!$B$2:$B$29,Instances!$A$2:$A$29,,0,1)</f>
        <v>133</v>
      </c>
      <c r="D35">
        <v>8</v>
      </c>
      <c r="E35">
        <v>483.197</v>
      </c>
      <c r="F35">
        <v>481.25400000000002</v>
      </c>
      <c r="G35">
        <v>495.35119999999989</v>
      </c>
      <c r="H35">
        <v>497.52659999999997</v>
      </c>
      <c r="I35">
        <v>470.47640000000001</v>
      </c>
      <c r="J35">
        <v>499.18369999999999</v>
      </c>
      <c r="K35">
        <v>468.09870000000001</v>
      </c>
      <c r="L35">
        <v>461.93579999999992</v>
      </c>
      <c r="M35">
        <v>481.25400000000002</v>
      </c>
      <c r="N35" s="13">
        <f t="shared" si="10"/>
        <v>4.0211342371744519E-3</v>
      </c>
      <c r="O35" s="13">
        <f t="shared" si="11"/>
        <v>-2.5153715772241736E-2</v>
      </c>
      <c r="P35" s="13">
        <f t="shared" si="12"/>
        <v>-2.9655813260429952E-2</v>
      </c>
      <c r="Q35" s="13">
        <f t="shared" si="13"/>
        <v>2.6325908480392034E-2</v>
      </c>
      <c r="R35" s="13">
        <f t="shared" si="14"/>
        <v>-3.3085263360492688E-2</v>
      </c>
      <c r="S35" s="13">
        <f t="shared" si="15"/>
        <v>3.1246675786480452E-2</v>
      </c>
      <c r="T35" s="13">
        <f t="shared" si="16"/>
        <v>4.4001101000213344E-2</v>
      </c>
      <c r="U35" s="7">
        <f t="shared" si="17"/>
        <v>4.0211342371744519E-3</v>
      </c>
      <c r="V35">
        <v>476.67899999999997</v>
      </c>
      <c r="W35">
        <v>481.238</v>
      </c>
      <c r="X35">
        <v>491.24160000000001</v>
      </c>
      <c r="Y35">
        <v>497.50920000000002</v>
      </c>
      <c r="Z35">
        <v>470.4606</v>
      </c>
      <c r="AA35">
        <v>499.16500000000008</v>
      </c>
      <c r="AB35">
        <v>468.08339999999998</v>
      </c>
      <c r="AC35">
        <v>461.91950000000008</v>
      </c>
      <c r="AD35">
        <v>481.238</v>
      </c>
      <c r="AE35" s="14">
        <f>Tabla13[[#This Row],[Calculated HEFT_NC]]/Tabla13[[#This Row],[Real HEFT_NC]]</f>
        <v>0.98651067783947333</v>
      </c>
      <c r="AF35" s="14">
        <f>Tabla13[[#This Row],[Calculated HEFT_DNC]]/Tabla13[[#This Row],[Real HEFT_DNC]]</f>
        <v>0.99996675352308761</v>
      </c>
      <c r="AG35" s="14">
        <f>Tabla13[[#This Row],[Calculated GA_NC]]/Tabla13[[#This Row],[Real GA_NC]]</f>
        <v>0.99170366398627907</v>
      </c>
      <c r="AH35" s="15">
        <f>Tabla13[[#This Row],[Calculated GA_DNC]]/Tabla13[[#This Row],[Real GA_DNC]]</f>
        <v>0.99996502699554168</v>
      </c>
      <c r="AI35" s="15">
        <f>Tabla13[[#This Row],[Calculated HGA_(Ph2)]]/Tabla13[[#This Row],[Real HGA_(Ph2)]]</f>
        <v>0.99996641701900457</v>
      </c>
      <c r="AJ35" s="15">
        <f>Tabla13[[#This Row],[Calculated HGA_(Ph1)]]/Tabla13[[#This Row],[Real HGA_(Ph1)]]</f>
        <v>0.99996253884091191</v>
      </c>
      <c r="AK35" s="15">
        <f>Tabla13[[#This Row],[Calculated HGA^H]]/Tabla13[[#This Row],[Real GA^H]]</f>
        <v>0.99996731458557775</v>
      </c>
      <c r="AL35" s="15">
        <f>Tabla13[[#This Row],[Calculated HGA_(Ph2)^H]]/Tabla13[[#This Row],[Real HGA_(Ph2)^H]]</f>
        <v>0.99996471371129969</v>
      </c>
      <c r="AM35" s="15">
        <f>Tabla13[[#This Row],[Calculated HGA_(Ph1)^H]]/Tabla13[[#This Row],[Real HGA_(Ph1)^H]]</f>
        <v>0.99996675352308761</v>
      </c>
      <c r="AU35"/>
      <c r="AV35"/>
      <c r="AW35"/>
    </row>
    <row r="36" spans="1:49">
      <c r="A36" s="6" t="str">
        <f t="shared" si="9"/>
        <v>cycles</v>
      </c>
      <c r="B36" t="s">
        <v>8</v>
      </c>
      <c r="C36">
        <f>_xlfn.XLOOKUP(B36,Instances!$B$2:$B$29,Instances!$A$2:$A$29,,0,1)</f>
        <v>133</v>
      </c>
      <c r="D36">
        <v>16</v>
      </c>
      <c r="E36">
        <v>270.65499999999992</v>
      </c>
      <c r="F36">
        <v>270.495</v>
      </c>
      <c r="G36">
        <v>307.44</v>
      </c>
      <c r="H36">
        <v>303.89999999999998</v>
      </c>
      <c r="I36">
        <v>277.36259999999999</v>
      </c>
      <c r="J36">
        <v>293.61680000000001</v>
      </c>
      <c r="K36">
        <v>270.49400000000003</v>
      </c>
      <c r="L36">
        <v>265.37509999999997</v>
      </c>
      <c r="M36">
        <v>270.495</v>
      </c>
      <c r="N36" s="13">
        <f t="shared" si="10"/>
        <v>5.911584858950005E-4</v>
      </c>
      <c r="O36" s="13">
        <f t="shared" si="11"/>
        <v>-0.1359110306478731</v>
      </c>
      <c r="P36" s="13">
        <f t="shared" si="12"/>
        <v>-0.12283164914743888</v>
      </c>
      <c r="Q36" s="13">
        <f t="shared" si="13"/>
        <v>-2.4782841624947156E-2</v>
      </c>
      <c r="R36" s="13">
        <f t="shared" si="14"/>
        <v>-8.4837893258946279E-2</v>
      </c>
      <c r="S36" s="13">
        <f t="shared" si="15"/>
        <v>5.9485322643175898E-4</v>
      </c>
      <c r="T36" s="13">
        <f t="shared" si="16"/>
        <v>1.9507860560491929E-2</v>
      </c>
      <c r="U36" s="7">
        <f t="shared" si="17"/>
        <v>5.911584858950005E-4</v>
      </c>
      <c r="V36">
        <v>270.24900000000002</v>
      </c>
      <c r="W36">
        <v>270.48799999999989</v>
      </c>
      <c r="X36">
        <v>305.75810000000001</v>
      </c>
      <c r="Y36">
        <v>303.89210000000003</v>
      </c>
      <c r="Z36">
        <v>277.35439999999988</v>
      </c>
      <c r="AA36">
        <v>293.6037</v>
      </c>
      <c r="AB36">
        <v>270.48799999999989</v>
      </c>
      <c r="AC36">
        <v>265.36800000000011</v>
      </c>
      <c r="AD36">
        <v>270.48799999999989</v>
      </c>
      <c r="AE36" s="14">
        <f>Tabla13[[#This Row],[Calculated HEFT_NC]]/Tabla13[[#This Row],[Real HEFT_NC]]</f>
        <v>0.99849993534204096</v>
      </c>
      <c r="AF36" s="14">
        <f>Tabla13[[#This Row],[Calculated HEFT_DNC]]/Tabla13[[#This Row],[Real HEFT_DNC]]</f>
        <v>0.99997412151795739</v>
      </c>
      <c r="AG36" s="14">
        <f>Tabla13[[#This Row],[Calculated GA_NC]]/Tabla13[[#This Row],[Real GA_NC]]</f>
        <v>0.99452933905802765</v>
      </c>
      <c r="AH36" s="15">
        <f>Tabla13[[#This Row],[Calculated GA_DNC]]/Tabla13[[#This Row],[Real GA_DNC]]</f>
        <v>0.99997400460677877</v>
      </c>
      <c r="AI36" s="15">
        <f>Tabla13[[#This Row],[Calculated HGA_(Ph2)]]/Tabla13[[#This Row],[Real HGA_(Ph2)]]</f>
        <v>0.99997043581218192</v>
      </c>
      <c r="AJ36" s="15">
        <f>Tabla13[[#This Row],[Calculated HGA_(Ph1)]]/Tabla13[[#This Row],[Real HGA_(Ph1)]]</f>
        <v>0.99995538402434736</v>
      </c>
      <c r="AK36" s="15">
        <f>Tabla13[[#This Row],[Calculated HGA^H]]/Tabla13[[#This Row],[Real GA^H]]</f>
        <v>0.99997781836195943</v>
      </c>
      <c r="AL36" s="15">
        <f>Tabla13[[#This Row],[Calculated HGA_(Ph2)^H]]/Tabla13[[#This Row],[Real HGA_(Ph2)^H]]</f>
        <v>0.99997324541752464</v>
      </c>
      <c r="AM36" s="15">
        <f>Tabla13[[#This Row],[Calculated HGA_(Ph1)^H]]/Tabla13[[#This Row],[Real HGA_(Ph1)^H]]</f>
        <v>0.99997412151795739</v>
      </c>
      <c r="AU36"/>
      <c r="AV36"/>
      <c r="AW36"/>
    </row>
    <row r="37" spans="1:49">
      <c r="A37" s="6" t="str">
        <f t="shared" si="9"/>
        <v>cycles</v>
      </c>
      <c r="B37" t="s">
        <v>9</v>
      </c>
      <c r="C37">
        <f>_xlfn.XLOOKUP(B37,Instances!$B$2:$B$29,Instances!$A$2:$A$29,,0,1)</f>
        <v>1091</v>
      </c>
      <c r="D37">
        <v>1</v>
      </c>
      <c r="E37">
        <v>16297</v>
      </c>
      <c r="F37">
        <v>16297</v>
      </c>
      <c r="G37">
        <v>16297</v>
      </c>
      <c r="H37">
        <v>16297</v>
      </c>
      <c r="I37">
        <v>16297</v>
      </c>
      <c r="J37">
        <v>16297</v>
      </c>
      <c r="K37">
        <v>16297</v>
      </c>
      <c r="L37">
        <v>16297</v>
      </c>
      <c r="M37">
        <v>16297</v>
      </c>
      <c r="N37" s="13">
        <f t="shared" si="10"/>
        <v>0</v>
      </c>
      <c r="O37" s="13">
        <f t="shared" si="11"/>
        <v>0</v>
      </c>
      <c r="P37" s="13">
        <f t="shared" si="12"/>
        <v>0</v>
      </c>
      <c r="Q37" s="13">
        <f t="shared" si="13"/>
        <v>0</v>
      </c>
      <c r="R37" s="13">
        <f t="shared" si="14"/>
        <v>0</v>
      </c>
      <c r="S37" s="13">
        <f t="shared" si="15"/>
        <v>0</v>
      </c>
      <c r="T37" s="13">
        <f t="shared" si="16"/>
        <v>0</v>
      </c>
      <c r="U37" s="7">
        <f t="shared" si="17"/>
        <v>0</v>
      </c>
      <c r="V37">
        <v>15858.2</v>
      </c>
      <c r="W37">
        <v>16296.1</v>
      </c>
      <c r="X37">
        <v>15858.2</v>
      </c>
      <c r="Y37">
        <v>16296.1</v>
      </c>
      <c r="Z37">
        <v>16296.1</v>
      </c>
      <c r="AA37">
        <v>16296.1</v>
      </c>
      <c r="AB37">
        <v>16296.1</v>
      </c>
      <c r="AC37">
        <v>16296.1</v>
      </c>
      <c r="AD37">
        <v>16296.1</v>
      </c>
      <c r="AE37" s="14">
        <f>Tabla13[[#This Row],[Calculated HEFT_NC]]/Tabla13[[#This Row],[Real HEFT_NC]]</f>
        <v>0.97307479904276861</v>
      </c>
      <c r="AF37" s="14">
        <f>Tabla13[[#This Row],[Calculated HEFT_DNC]]/Tabla13[[#This Row],[Real HEFT_DNC]]</f>
        <v>0.99994477511198387</v>
      </c>
      <c r="AG37" s="14">
        <f>Tabla13[[#This Row],[Calculated GA_NC]]/Tabla13[[#This Row],[Real GA_NC]]</f>
        <v>0.97307479904276861</v>
      </c>
      <c r="AH37" s="15">
        <f>Tabla13[[#This Row],[Calculated GA_DNC]]/Tabla13[[#This Row],[Real GA_DNC]]</f>
        <v>0.99994477511198387</v>
      </c>
      <c r="AI37" s="15">
        <f>Tabla13[[#This Row],[Calculated HGA_(Ph2)]]/Tabla13[[#This Row],[Real HGA_(Ph2)]]</f>
        <v>0.99994477511198387</v>
      </c>
      <c r="AJ37" s="15">
        <f>Tabla13[[#This Row],[Calculated HGA_(Ph1)]]/Tabla13[[#This Row],[Real HGA_(Ph1)]]</f>
        <v>0.99994477511198387</v>
      </c>
      <c r="AK37" s="15">
        <f>Tabla13[[#This Row],[Calculated HGA^H]]/Tabla13[[#This Row],[Real GA^H]]</f>
        <v>0.99994477511198387</v>
      </c>
      <c r="AL37" s="15">
        <f>Tabla13[[#This Row],[Calculated HGA_(Ph2)^H]]/Tabla13[[#This Row],[Real HGA_(Ph2)^H]]</f>
        <v>0.99994477511198387</v>
      </c>
      <c r="AM37" s="15">
        <f>Tabla13[[#This Row],[Calculated HGA_(Ph1)^H]]/Tabla13[[#This Row],[Real HGA_(Ph1)^H]]</f>
        <v>0.99994477511198387</v>
      </c>
      <c r="AU37"/>
      <c r="AV37"/>
      <c r="AW37"/>
    </row>
    <row r="38" spans="1:49">
      <c r="A38" s="6" t="str">
        <f t="shared" si="9"/>
        <v>cycles</v>
      </c>
      <c r="B38" t="s">
        <v>9</v>
      </c>
      <c r="C38">
        <f>_xlfn.XLOOKUP(B38,Instances!$B$2:$B$29,Instances!$A$2:$A$29,,0,1)</f>
        <v>1091</v>
      </c>
      <c r="D38">
        <v>2</v>
      </c>
      <c r="E38">
        <v>8151.22</v>
      </c>
      <c r="F38">
        <v>8043.2299999999987</v>
      </c>
      <c r="G38">
        <v>8274.17</v>
      </c>
      <c r="H38">
        <v>8160.4370000000008</v>
      </c>
      <c r="I38">
        <v>8052.3179999999993</v>
      </c>
      <c r="J38">
        <v>8044.3</v>
      </c>
      <c r="K38">
        <v>8042.7120000000004</v>
      </c>
      <c r="L38">
        <v>8011.317</v>
      </c>
      <c r="M38">
        <v>8043.2299999999987</v>
      </c>
      <c r="N38" s="13">
        <f t="shared" si="10"/>
        <v>1.3248323563834812E-2</v>
      </c>
      <c r="O38" s="13">
        <f t="shared" si="11"/>
        <v>-1.5083631652685097E-2</v>
      </c>
      <c r="P38" s="13">
        <f t="shared" si="12"/>
        <v>-1.1307509796080284E-3</v>
      </c>
      <c r="Q38" s="13">
        <f t="shared" si="13"/>
        <v>1.2133398436062448E-2</v>
      </c>
      <c r="R38" s="13">
        <f t="shared" si="14"/>
        <v>1.31170548703139E-2</v>
      </c>
      <c r="S38" s="13">
        <f t="shared" si="15"/>
        <v>1.331187233322126E-2</v>
      </c>
      <c r="T38" s="13">
        <f t="shared" si="16"/>
        <v>1.7163443018345749E-2</v>
      </c>
      <c r="U38" s="7">
        <f t="shared" si="17"/>
        <v>1.3248323563834812E-2</v>
      </c>
      <c r="V38">
        <v>7929.1000000000013</v>
      </c>
      <c r="W38">
        <v>8042.6499999999987</v>
      </c>
      <c r="X38">
        <v>8056.7190000000001</v>
      </c>
      <c r="Y38">
        <v>8159.9019999999991</v>
      </c>
      <c r="Z38">
        <v>8051.7260000000006</v>
      </c>
      <c r="AA38">
        <v>8043.7599999999993</v>
      </c>
      <c r="AB38">
        <v>8042.101999999999</v>
      </c>
      <c r="AC38">
        <v>8010.65</v>
      </c>
      <c r="AD38">
        <v>8042.6499999999987</v>
      </c>
      <c r="AE38" s="14">
        <f>Tabla13[[#This Row],[Calculated HEFT_NC]]/Tabla13[[#This Row],[Real HEFT_NC]]</f>
        <v>0.97275009139736146</v>
      </c>
      <c r="AF38" s="14">
        <f>Tabla13[[#This Row],[Calculated HEFT_DNC]]/Tabla13[[#This Row],[Real HEFT_DNC]]</f>
        <v>0.99992788966621615</v>
      </c>
      <c r="AG38" s="14">
        <f>Tabla13[[#This Row],[Calculated GA_NC]]/Tabla13[[#This Row],[Real GA_NC]]</f>
        <v>0.97371929752470643</v>
      </c>
      <c r="AH38" s="15">
        <f>Tabla13[[#This Row],[Calculated GA_DNC]]/Tabla13[[#This Row],[Real GA_DNC]]</f>
        <v>0.99993443978551622</v>
      </c>
      <c r="AI38" s="15">
        <f>Tabla13[[#This Row],[Calculated HGA_(Ph2)]]/Tabla13[[#This Row],[Real HGA_(Ph2)]]</f>
        <v>0.99992648079720658</v>
      </c>
      <c r="AJ38" s="15">
        <f>Tabla13[[#This Row],[Calculated HGA_(Ph1)]]/Tabla13[[#This Row],[Real HGA_(Ph1)]]</f>
        <v>0.99993287172283474</v>
      </c>
      <c r="AK38" s="15">
        <f>Tabla13[[#This Row],[Calculated HGA^H]]/Tabla13[[#This Row],[Real GA^H]]</f>
        <v>0.99992415493679232</v>
      </c>
      <c r="AL38" s="15">
        <f>Tabla13[[#This Row],[Calculated HGA_(Ph2)^H]]/Tabla13[[#This Row],[Real HGA_(Ph2)^H]]</f>
        <v>0.999916742777748</v>
      </c>
      <c r="AM38" s="15">
        <f>Tabla13[[#This Row],[Calculated HGA_(Ph1)^H]]/Tabla13[[#This Row],[Real HGA_(Ph1)^H]]</f>
        <v>0.99992788966621615</v>
      </c>
      <c r="AU38"/>
      <c r="AV38"/>
      <c r="AW38"/>
    </row>
    <row r="39" spans="1:49">
      <c r="A39" s="6" t="str">
        <f t="shared" si="9"/>
        <v>cycles</v>
      </c>
      <c r="B39" t="s">
        <v>9</v>
      </c>
      <c r="C39">
        <f>_xlfn.XLOOKUP(B39,Instances!$B$2:$B$29,Instances!$A$2:$A$29,,0,1)</f>
        <v>1091</v>
      </c>
      <c r="D39">
        <v>4</v>
      </c>
      <c r="E39">
        <v>4076.64</v>
      </c>
      <c r="F39">
        <v>4022.12</v>
      </c>
      <c r="G39">
        <v>4296.0370000000003</v>
      </c>
      <c r="H39">
        <v>4244.6410000000014</v>
      </c>
      <c r="I39">
        <v>4134.7269999999999</v>
      </c>
      <c r="J39">
        <v>4157.4139999999998</v>
      </c>
      <c r="K39">
        <v>4022.0230000000001</v>
      </c>
      <c r="L39">
        <v>4008.670000000001</v>
      </c>
      <c r="M39">
        <v>4022.12</v>
      </c>
      <c r="N39" s="13">
        <f t="shared" si="10"/>
        <v>1.3373758781741822E-2</v>
      </c>
      <c r="O39" s="13">
        <f t="shared" si="11"/>
        <v>-5.3818095294163919E-2</v>
      </c>
      <c r="P39" s="13">
        <f t="shared" si="12"/>
        <v>-4.121065387181639E-2</v>
      </c>
      <c r="Q39" s="13">
        <f t="shared" si="13"/>
        <v>-1.4248744063738763E-2</v>
      </c>
      <c r="R39" s="13">
        <f t="shared" si="14"/>
        <v>-1.9813866321284169E-2</v>
      </c>
      <c r="S39" s="13">
        <f t="shared" si="15"/>
        <v>1.3397552886690936E-2</v>
      </c>
      <c r="T39" s="13">
        <f t="shared" si="16"/>
        <v>1.6673044467992979E-2</v>
      </c>
      <c r="U39" s="7">
        <f t="shared" si="17"/>
        <v>1.3373758781741822E-2</v>
      </c>
      <c r="V39">
        <v>3964.79</v>
      </c>
      <c r="W39">
        <v>4021.8000000000011</v>
      </c>
      <c r="X39">
        <v>4183.893</v>
      </c>
      <c r="Y39">
        <v>4244.3609999999999</v>
      </c>
      <c r="Z39">
        <v>4134.42</v>
      </c>
      <c r="AA39">
        <v>4157.0840000000007</v>
      </c>
      <c r="AB39">
        <v>4021.701</v>
      </c>
      <c r="AC39">
        <v>4008.2829999999999</v>
      </c>
      <c r="AD39">
        <v>4021.8000000000011</v>
      </c>
      <c r="AE39" s="14">
        <f>Tabla13[[#This Row],[Calculated HEFT_NC]]/Tabla13[[#This Row],[Real HEFT_NC]]</f>
        <v>0.97256318929314345</v>
      </c>
      <c r="AF39" s="14">
        <f>Tabla13[[#This Row],[Calculated HEFT_DNC]]/Tabla13[[#This Row],[Real HEFT_DNC]]</f>
        <v>0.99992043996698288</v>
      </c>
      <c r="AG39" s="14">
        <f>Tabla13[[#This Row],[Calculated GA_NC]]/Tabla13[[#This Row],[Real GA_NC]]</f>
        <v>0.97389594177145122</v>
      </c>
      <c r="AH39" s="15">
        <f>Tabla13[[#This Row],[Calculated GA_DNC]]/Tabla13[[#This Row],[Real GA_DNC]]</f>
        <v>0.99993403446840345</v>
      </c>
      <c r="AI39" s="15">
        <f>Tabla13[[#This Row],[Calculated HGA_(Ph2)]]/Tabla13[[#This Row],[Real HGA_(Ph2)]]</f>
        <v>0.9999257508415913</v>
      </c>
      <c r="AJ39" s="15">
        <f>Tabla13[[#This Row],[Calculated HGA_(Ph1)]]/Tabla13[[#This Row],[Real HGA_(Ph1)]]</f>
        <v>0.99992062373388868</v>
      </c>
      <c r="AK39" s="15">
        <f>Tabla13[[#This Row],[Calculated HGA^H]]/Tabla13[[#This Row],[Real GA^H]]</f>
        <v>0.99991994078601731</v>
      </c>
      <c r="AL39" s="15">
        <f>Tabla13[[#This Row],[Calculated HGA_(Ph2)^H]]/Tabla13[[#This Row],[Real HGA_(Ph2)^H]]</f>
        <v>0.99990345925207091</v>
      </c>
      <c r="AM39" s="15">
        <f>Tabla13[[#This Row],[Calculated HGA_(Ph1)^H]]/Tabla13[[#This Row],[Real HGA_(Ph1)^H]]</f>
        <v>0.99992043996698288</v>
      </c>
      <c r="AU39"/>
      <c r="AV39"/>
      <c r="AW39"/>
    </row>
    <row r="40" spans="1:49">
      <c r="A40" s="6" t="str">
        <f t="shared" si="9"/>
        <v>cycles</v>
      </c>
      <c r="B40" t="s">
        <v>9</v>
      </c>
      <c r="C40">
        <f>_xlfn.XLOOKUP(B40,Instances!$B$2:$B$29,Instances!$A$2:$A$29,,0,1)</f>
        <v>1091</v>
      </c>
      <c r="D40">
        <v>8</v>
      </c>
      <c r="E40">
        <v>2037.79</v>
      </c>
      <c r="F40">
        <v>2011.05</v>
      </c>
      <c r="G40">
        <v>2305.7890000000002</v>
      </c>
      <c r="H40">
        <v>2283.9319999999998</v>
      </c>
      <c r="I40">
        <v>2184.8209999999999</v>
      </c>
      <c r="J40">
        <v>2312.67</v>
      </c>
      <c r="K40">
        <v>2011.0139999999999</v>
      </c>
      <c r="L40">
        <v>2005.05</v>
      </c>
      <c r="M40">
        <v>2011.05</v>
      </c>
      <c r="N40" s="13">
        <f t="shared" si="10"/>
        <v>1.3122058700847492E-2</v>
      </c>
      <c r="O40" s="13">
        <f t="shared" si="11"/>
        <v>-0.13151453290083878</v>
      </c>
      <c r="P40" s="13">
        <f t="shared" si="12"/>
        <v>-0.12078869755961107</v>
      </c>
      <c r="Q40" s="13">
        <f t="shared" si="13"/>
        <v>-7.2152184474357006E-2</v>
      </c>
      <c r="R40" s="13">
        <f t="shared" si="14"/>
        <v>-0.13489123020527144</v>
      </c>
      <c r="S40" s="13">
        <f t="shared" si="15"/>
        <v>1.3139724898051354E-2</v>
      </c>
      <c r="T40" s="13">
        <f t="shared" si="16"/>
        <v>1.606642490148642E-2</v>
      </c>
      <c r="U40" s="7">
        <f t="shared" si="17"/>
        <v>1.3122058700847492E-2</v>
      </c>
      <c r="V40">
        <v>1982.41</v>
      </c>
      <c r="W40">
        <v>2010.88</v>
      </c>
      <c r="X40">
        <v>2245.0329999999999</v>
      </c>
      <c r="Y40">
        <v>2283.7869999999998</v>
      </c>
      <c r="Z40">
        <v>2184.6570000000002</v>
      </c>
      <c r="AA40">
        <v>2312.5160000000001</v>
      </c>
      <c r="AB40">
        <v>2010.847</v>
      </c>
      <c r="AC40">
        <v>2004.847</v>
      </c>
      <c r="AD40">
        <v>2010.88</v>
      </c>
      <c r="AE40" s="14">
        <f>Tabla13[[#This Row],[Calculated HEFT_NC]]/Tabla13[[#This Row],[Real HEFT_NC]]</f>
        <v>0.9728234999681028</v>
      </c>
      <c r="AF40" s="14">
        <f>Tabla13[[#This Row],[Calculated HEFT_DNC]]/Tabla13[[#This Row],[Real HEFT_DNC]]</f>
        <v>0.99991546704457879</v>
      </c>
      <c r="AG40" s="14">
        <f>Tabla13[[#This Row],[Calculated GA_NC]]/Tabla13[[#This Row],[Real GA_NC]]</f>
        <v>0.97365066794923549</v>
      </c>
      <c r="AH40" s="15">
        <f>Tabla13[[#This Row],[Calculated GA_DNC]]/Tabla13[[#This Row],[Real GA_DNC]]</f>
        <v>0.99993651299600861</v>
      </c>
      <c r="AI40" s="15">
        <f>Tabla13[[#This Row],[Calculated HGA_(Ph2)]]/Tabla13[[#This Row],[Real HGA_(Ph2)]]</f>
        <v>0.999924936642407</v>
      </c>
      <c r="AJ40" s="15">
        <f>Tabla13[[#This Row],[Calculated HGA_(Ph1)]]/Tabla13[[#This Row],[Real HGA_(Ph1)]]</f>
        <v>0.9999334103006482</v>
      </c>
      <c r="AK40" s="15">
        <f>Tabla13[[#This Row],[Calculated HGA^H]]/Tabla13[[#This Row],[Real GA^H]]</f>
        <v>0.99991695731606045</v>
      </c>
      <c r="AL40" s="15">
        <f>Tabla13[[#This Row],[Calculated HGA_(Ph2)^H]]/Tabla13[[#This Row],[Real HGA_(Ph2)^H]]</f>
        <v>0.99989875564200392</v>
      </c>
      <c r="AM40" s="15">
        <f>Tabla13[[#This Row],[Calculated HGA_(Ph1)^H]]/Tabla13[[#This Row],[Real HGA_(Ph1)^H]]</f>
        <v>0.99991546704457879</v>
      </c>
      <c r="AU40"/>
      <c r="AV40"/>
      <c r="AW40"/>
    </row>
    <row r="41" spans="1:49">
      <c r="A41" s="6" t="str">
        <f t="shared" si="9"/>
        <v>cycles</v>
      </c>
      <c r="B41" t="s">
        <v>9</v>
      </c>
      <c r="C41">
        <f>_xlfn.XLOOKUP(B41,Instances!$B$2:$B$29,Instances!$A$2:$A$29,,0,1)</f>
        <v>1091</v>
      </c>
      <c r="D41">
        <v>16</v>
      </c>
      <c r="E41">
        <v>1020.55</v>
      </c>
      <c r="F41">
        <v>1005.96</v>
      </c>
      <c r="G41">
        <v>1335.6479999999999</v>
      </c>
      <c r="H41">
        <v>1321.604</v>
      </c>
      <c r="I41">
        <v>1232.8530000000001</v>
      </c>
      <c r="J41">
        <v>1373.4870000000001</v>
      </c>
      <c r="K41">
        <v>1005.922</v>
      </c>
      <c r="L41">
        <v>1004.066</v>
      </c>
      <c r="M41">
        <v>1005.96</v>
      </c>
      <c r="N41" s="13">
        <f t="shared" si="10"/>
        <v>1.4296212826417048E-2</v>
      </c>
      <c r="O41" s="13">
        <f t="shared" si="11"/>
        <v>-0.30875312331585908</v>
      </c>
      <c r="P41" s="13">
        <f t="shared" si="12"/>
        <v>-0.29499191612365894</v>
      </c>
      <c r="Q41" s="13">
        <f t="shared" si="13"/>
        <v>-0.20802802410464957</v>
      </c>
      <c r="R41" s="13">
        <f t="shared" si="14"/>
        <v>-0.34583018960364525</v>
      </c>
      <c r="S41" s="13">
        <f t="shared" si="15"/>
        <v>1.4333447650776474E-2</v>
      </c>
      <c r="T41" s="13">
        <f t="shared" si="16"/>
        <v>1.6152074861594163E-2</v>
      </c>
      <c r="U41" s="7">
        <f t="shared" si="17"/>
        <v>1.4296212826417048E-2</v>
      </c>
      <c r="V41">
        <v>991.37299999999993</v>
      </c>
      <c r="W41">
        <v>1005.87</v>
      </c>
      <c r="X41">
        <v>1307.8399999999999</v>
      </c>
      <c r="Y41">
        <v>1321.5360000000001</v>
      </c>
      <c r="Z41">
        <v>1232.769</v>
      </c>
      <c r="AA41">
        <v>1373.385</v>
      </c>
      <c r="AB41">
        <v>1005.831</v>
      </c>
      <c r="AC41">
        <v>1003.965</v>
      </c>
      <c r="AD41">
        <v>1005.87</v>
      </c>
      <c r="AE41" s="14">
        <f>Tabla13[[#This Row],[Calculated HEFT_NC]]/Tabla13[[#This Row],[Real HEFT_NC]]</f>
        <v>0.97141051393856248</v>
      </c>
      <c r="AF41" s="14">
        <f>Tabla13[[#This Row],[Calculated HEFT_DNC]]/Tabla13[[#This Row],[Real HEFT_DNC]]</f>
        <v>0.99991053322199686</v>
      </c>
      <c r="AG41" s="14">
        <f>Tabla13[[#This Row],[Calculated GA_NC]]/Tabla13[[#This Row],[Real GA_NC]]</f>
        <v>0.97918014327128111</v>
      </c>
      <c r="AH41" s="15">
        <f>Tabla13[[#This Row],[Calculated GA_DNC]]/Tabla13[[#This Row],[Real GA_DNC]]</f>
        <v>0.99994854737122463</v>
      </c>
      <c r="AI41" s="15">
        <f>Tabla13[[#This Row],[Calculated HGA_(Ph2)]]/Tabla13[[#This Row],[Real HGA_(Ph2)]]</f>
        <v>0.99993186535621026</v>
      </c>
      <c r="AJ41" s="15">
        <f>Tabla13[[#This Row],[Calculated HGA_(Ph1)]]/Tabla13[[#This Row],[Real HGA_(Ph1)]]</f>
        <v>0.99992573646492466</v>
      </c>
      <c r="AK41" s="15">
        <f>Tabla13[[#This Row],[Calculated HGA^H]]/Tabla13[[#This Row],[Real GA^H]]</f>
        <v>0.99990953572941044</v>
      </c>
      <c r="AL41" s="15">
        <f>Tabla13[[#This Row],[Calculated HGA_(Ph2)^H]]/Tabla13[[#This Row],[Real HGA_(Ph2)^H]]</f>
        <v>0.99989940900299379</v>
      </c>
      <c r="AM41" s="15">
        <f>Tabla13[[#This Row],[Calculated HGA_(Ph1)^H]]/Tabla13[[#This Row],[Real HGA_(Ph1)^H]]</f>
        <v>0.99991053322199686</v>
      </c>
      <c r="AU41"/>
      <c r="AV41"/>
      <c r="AW41"/>
    </row>
    <row r="42" spans="1:49">
      <c r="A42" s="6" t="str">
        <f t="shared" si="9"/>
        <v>epigenomics</v>
      </c>
      <c r="B42" t="s">
        <v>10</v>
      </c>
      <c r="C42">
        <f>_xlfn.XLOOKUP(B42,Instances!$B$2:$B$29,Instances!$A$2:$A$29,,0,1)</f>
        <v>41</v>
      </c>
      <c r="D42">
        <v>1</v>
      </c>
      <c r="E42">
        <v>604.43700000000001</v>
      </c>
      <c r="F42">
        <v>604.43700000000001</v>
      </c>
      <c r="G42">
        <v>604.43700000000001</v>
      </c>
      <c r="H42">
        <v>604.43700000000001</v>
      </c>
      <c r="I42">
        <v>604.43700000000001</v>
      </c>
      <c r="J42">
        <v>604.43700000000001</v>
      </c>
      <c r="K42">
        <v>604.43700000000001</v>
      </c>
      <c r="L42">
        <v>604.43700000000001</v>
      </c>
      <c r="M42">
        <v>604.43700000000001</v>
      </c>
      <c r="N42" s="13">
        <f t="shared" si="10"/>
        <v>0</v>
      </c>
      <c r="O42" s="13">
        <f t="shared" si="11"/>
        <v>0</v>
      </c>
      <c r="P42" s="13">
        <f t="shared" si="12"/>
        <v>0</v>
      </c>
      <c r="Q42" s="13">
        <f t="shared" si="13"/>
        <v>0</v>
      </c>
      <c r="R42" s="13">
        <f t="shared" si="14"/>
        <v>0</v>
      </c>
      <c r="S42" s="13">
        <f t="shared" si="15"/>
        <v>0</v>
      </c>
      <c r="T42" s="13">
        <f t="shared" si="16"/>
        <v>0</v>
      </c>
      <c r="U42" s="7">
        <f t="shared" si="17"/>
        <v>0</v>
      </c>
      <c r="V42">
        <v>539.30700000000002</v>
      </c>
      <c r="W42">
        <v>604.37799999999993</v>
      </c>
      <c r="X42">
        <v>539.30700000000002</v>
      </c>
      <c r="Y42">
        <v>604.37799999999993</v>
      </c>
      <c r="Z42">
        <v>604.37799999999993</v>
      </c>
      <c r="AA42">
        <v>604.37799999999993</v>
      </c>
      <c r="AB42">
        <v>604.37799999999993</v>
      </c>
      <c r="AC42">
        <v>604.37799999999993</v>
      </c>
      <c r="AD42">
        <v>604.37799999999993</v>
      </c>
      <c r="AE42" s="14">
        <f>Tabla13[[#This Row],[Calculated HEFT_NC]]/Tabla13[[#This Row],[Real HEFT_NC]]</f>
        <v>0.89224683465770627</v>
      </c>
      <c r="AF42" s="14">
        <f>Tabla13[[#This Row],[Calculated HEFT_DNC]]/Tabla13[[#This Row],[Real HEFT_DNC]]</f>
        <v>0.99990238850368185</v>
      </c>
      <c r="AG42" s="14">
        <f>Tabla13[[#This Row],[Calculated GA_NC]]/Tabla13[[#This Row],[Real GA_NC]]</f>
        <v>0.89224683465770627</v>
      </c>
      <c r="AH42" s="15">
        <f>Tabla13[[#This Row],[Calculated GA_DNC]]/Tabla13[[#This Row],[Real GA_DNC]]</f>
        <v>0.99990238850368185</v>
      </c>
      <c r="AI42" s="15">
        <f>Tabla13[[#This Row],[Calculated HGA_(Ph2)]]/Tabla13[[#This Row],[Real HGA_(Ph2)]]</f>
        <v>0.99990238850368185</v>
      </c>
      <c r="AJ42" s="15">
        <f>Tabla13[[#This Row],[Calculated HGA_(Ph1)]]/Tabla13[[#This Row],[Real HGA_(Ph1)]]</f>
        <v>0.99990238850368185</v>
      </c>
      <c r="AK42" s="15">
        <f>Tabla13[[#This Row],[Calculated HGA^H]]/Tabla13[[#This Row],[Real GA^H]]</f>
        <v>0.99990238850368185</v>
      </c>
      <c r="AL42" s="15">
        <f>Tabla13[[#This Row],[Calculated HGA_(Ph2)^H]]/Tabla13[[#This Row],[Real HGA_(Ph2)^H]]</f>
        <v>0.99990238850368185</v>
      </c>
      <c r="AM42" s="15">
        <f>Tabla13[[#This Row],[Calculated HGA_(Ph1)^H]]/Tabla13[[#This Row],[Real HGA_(Ph1)^H]]</f>
        <v>0.99990238850368185</v>
      </c>
      <c r="AU42"/>
      <c r="AV42"/>
      <c r="AW42"/>
    </row>
    <row r="43" spans="1:49">
      <c r="A43" s="6" t="str">
        <f t="shared" si="9"/>
        <v>epigenomics</v>
      </c>
      <c r="B43" t="s">
        <v>10</v>
      </c>
      <c r="C43">
        <f>_xlfn.XLOOKUP(B43,Instances!$B$2:$B$29,Instances!$A$2:$A$29,,0,1)</f>
        <v>41</v>
      </c>
      <c r="D43">
        <v>2</v>
      </c>
      <c r="E43">
        <v>349.91199999999992</v>
      </c>
      <c r="F43">
        <v>317.82100000000003</v>
      </c>
      <c r="G43">
        <v>323.28530000000001</v>
      </c>
      <c r="H43">
        <v>304.51369999999997</v>
      </c>
      <c r="I43">
        <v>304.08049999999997</v>
      </c>
      <c r="J43">
        <v>316.66550000000001</v>
      </c>
      <c r="K43">
        <v>304.57510000000002</v>
      </c>
      <c r="L43">
        <v>304.14879999999999</v>
      </c>
      <c r="M43">
        <v>316.68610000000001</v>
      </c>
      <c r="N43" s="13">
        <f t="shared" si="10"/>
        <v>9.1711630352774132E-2</v>
      </c>
      <c r="O43" s="13">
        <f t="shared" si="11"/>
        <v>7.6095418276595037E-2</v>
      </c>
      <c r="P43" s="13">
        <f t="shared" si="12"/>
        <v>0.12974204942957074</v>
      </c>
      <c r="Q43" s="13">
        <f t="shared" si="13"/>
        <v>0.13098007499028316</v>
      </c>
      <c r="R43" s="13">
        <f t="shared" si="14"/>
        <v>9.5013889206428809E-2</v>
      </c>
      <c r="S43" s="13">
        <f t="shared" si="15"/>
        <v>0.1295665767392942</v>
      </c>
      <c r="T43" s="13">
        <f t="shared" si="16"/>
        <v>0.13078488305631111</v>
      </c>
      <c r="U43" s="7">
        <f t="shared" si="17"/>
        <v>9.4955017261482658E-2</v>
      </c>
      <c r="V43">
        <v>309.11700000000008</v>
      </c>
      <c r="W43">
        <v>317.46899999999999</v>
      </c>
      <c r="X43">
        <v>293.09230000000002</v>
      </c>
      <c r="Y43">
        <v>303.9615</v>
      </c>
      <c r="Z43">
        <v>303.42849999999999</v>
      </c>
      <c r="AA43">
        <v>316.35590000000002</v>
      </c>
      <c r="AB43">
        <v>303.88279999999997</v>
      </c>
      <c r="AC43">
        <v>303.41099999999989</v>
      </c>
      <c r="AD43">
        <v>316.33740000000012</v>
      </c>
      <c r="AE43" s="14">
        <f>Tabla13[[#This Row],[Calculated HEFT_NC]]/Tabla13[[#This Row],[Real HEFT_NC]]</f>
        <v>0.88341354397677174</v>
      </c>
      <c r="AF43" s="14">
        <f>Tabla13[[#This Row],[Calculated HEFT_DNC]]/Tabla13[[#This Row],[Real HEFT_DNC]]</f>
        <v>0.99889245833346429</v>
      </c>
      <c r="AG43" s="14">
        <f>Tabla13[[#This Row],[Calculated GA_NC]]/Tabla13[[#This Row],[Real GA_NC]]</f>
        <v>0.906605713281736</v>
      </c>
      <c r="AH43" s="15">
        <f>Tabla13[[#This Row],[Calculated GA_DNC]]/Tabla13[[#This Row],[Real GA_DNC]]</f>
        <v>0.99818661689112853</v>
      </c>
      <c r="AI43" s="15">
        <f>Tabla13[[#This Row],[Calculated HGA_(Ph2)]]/Tabla13[[#This Row],[Real HGA_(Ph2)]]</f>
        <v>0.99785583093950458</v>
      </c>
      <c r="AJ43" s="15">
        <f>Tabla13[[#This Row],[Calculated HGA_(Ph1)]]/Tabla13[[#This Row],[Real HGA_(Ph1)]]</f>
        <v>0.99902231218746596</v>
      </c>
      <c r="AK43" s="15">
        <f>Tabla13[[#This Row],[Calculated HGA^H]]/Tabla13[[#This Row],[Real GA^H]]</f>
        <v>0.99772699738094139</v>
      </c>
      <c r="AL43" s="15">
        <f>Tabla13[[#This Row],[Calculated HGA_(Ph2)^H]]/Tabla13[[#This Row],[Real HGA_(Ph2)^H]]</f>
        <v>0.99757421367435906</v>
      </c>
      <c r="AM43" s="15">
        <f>Tabla13[[#This Row],[Calculated HGA_(Ph1)^H]]/Tabla13[[#This Row],[Real HGA_(Ph1)^H]]</f>
        <v>0.998898909677438</v>
      </c>
      <c r="AU43"/>
      <c r="AV43"/>
      <c r="AW43"/>
    </row>
    <row r="44" spans="1:49">
      <c r="A44" s="6" t="str">
        <f t="shared" si="9"/>
        <v>epigenomics</v>
      </c>
      <c r="B44" t="s">
        <v>10</v>
      </c>
      <c r="C44">
        <f>_xlfn.XLOOKUP(B44,Instances!$B$2:$B$29,Instances!$A$2:$A$29,,0,1)</f>
        <v>41</v>
      </c>
      <c r="D44">
        <v>4</v>
      </c>
      <c r="E44">
        <v>222.91800000000001</v>
      </c>
      <c r="F44">
        <v>199.52199999999999</v>
      </c>
      <c r="G44">
        <v>201.60220000000001</v>
      </c>
      <c r="H44">
        <v>187.4973</v>
      </c>
      <c r="I44">
        <v>184.654</v>
      </c>
      <c r="J44">
        <v>202.965</v>
      </c>
      <c r="K44">
        <v>189.44159999999999</v>
      </c>
      <c r="L44">
        <v>184.71940000000001</v>
      </c>
      <c r="M44">
        <v>199.49639999999999</v>
      </c>
      <c r="N44" s="13">
        <f t="shared" si="10"/>
        <v>0.10495339093298887</v>
      </c>
      <c r="O44" s="13">
        <f t="shared" si="11"/>
        <v>9.5621708430902827E-2</v>
      </c>
      <c r="P44" s="13">
        <f t="shared" si="12"/>
        <v>0.1588956477269669</v>
      </c>
      <c r="Q44" s="13">
        <f t="shared" si="13"/>
        <v>0.17165056209009594</v>
      </c>
      <c r="R44" s="13">
        <f t="shared" si="14"/>
        <v>8.9508249670282355E-2</v>
      </c>
      <c r="S44" s="13">
        <f t="shared" si="15"/>
        <v>0.1501736064382419</v>
      </c>
      <c r="T44" s="13">
        <f t="shared" si="16"/>
        <v>0.17135718066733058</v>
      </c>
      <c r="U44" s="7">
        <f t="shared" si="17"/>
        <v>0.10506823136758814</v>
      </c>
      <c r="V44">
        <v>193.10300000000001</v>
      </c>
      <c r="W44">
        <v>198.958</v>
      </c>
      <c r="X44">
        <v>182.63140000000001</v>
      </c>
      <c r="Y44">
        <v>187.16980000000001</v>
      </c>
      <c r="Z44">
        <v>184.44319999999999</v>
      </c>
      <c r="AA44">
        <v>202.19059999999999</v>
      </c>
      <c r="AB44">
        <v>189.1268</v>
      </c>
      <c r="AC44">
        <v>184.49359999999999</v>
      </c>
      <c r="AD44">
        <v>198.94130000000001</v>
      </c>
      <c r="AE44" s="14">
        <f>Tabla13[[#This Row],[Calculated HEFT_NC]]/Tabla13[[#This Row],[Real HEFT_NC]]</f>
        <v>0.86625126728213964</v>
      </c>
      <c r="AF44" s="14">
        <f>Tabla13[[#This Row],[Calculated HEFT_DNC]]/Tabla13[[#This Row],[Real HEFT_DNC]]</f>
        <v>0.99717324405328744</v>
      </c>
      <c r="AG44" s="14">
        <f>Tabla13[[#This Row],[Calculated GA_NC]]/Tabla13[[#This Row],[Real GA_NC]]</f>
        <v>0.90589983641051541</v>
      </c>
      <c r="AH44" s="15">
        <f>Tabla13[[#This Row],[Calculated GA_DNC]]/Tabla13[[#This Row],[Real GA_DNC]]</f>
        <v>0.99825330818097124</v>
      </c>
      <c r="AI44" s="15">
        <f>Tabla13[[#This Row],[Calculated HGA_(Ph2)]]/Tabla13[[#This Row],[Real HGA_(Ph2)]]</f>
        <v>0.99885840545019333</v>
      </c>
      <c r="AJ44" s="15">
        <f>Tabla13[[#This Row],[Calculated HGA_(Ph1)]]/Tabla13[[#This Row],[Real HGA_(Ph1)]]</f>
        <v>0.99618456384105625</v>
      </c>
      <c r="AK44" s="15">
        <f>Tabla13[[#This Row],[Calculated HGA^H]]/Tabla13[[#This Row],[Real GA^H]]</f>
        <v>0.99833827416998167</v>
      </c>
      <c r="AL44" s="15">
        <f>Tabla13[[#This Row],[Calculated HGA_(Ph2)^H]]/Tabla13[[#This Row],[Real HGA_(Ph2)^H]]</f>
        <v>0.99877760538416638</v>
      </c>
      <c r="AM44" s="15">
        <f>Tabla13[[#This Row],[Calculated HGA_(Ph1)^H]]/Tabla13[[#This Row],[Real HGA_(Ph1)^H]]</f>
        <v>0.99721749364900825</v>
      </c>
      <c r="AU44"/>
      <c r="AV44"/>
      <c r="AW44"/>
    </row>
    <row r="45" spans="1:49">
      <c r="A45" s="6" t="str">
        <f t="shared" si="9"/>
        <v>epigenomics</v>
      </c>
      <c r="B45" t="s">
        <v>10</v>
      </c>
      <c r="C45">
        <f>_xlfn.XLOOKUP(B45,Instances!$B$2:$B$29,Instances!$A$2:$A$29,,0,1)</f>
        <v>41</v>
      </c>
      <c r="D45">
        <v>8</v>
      </c>
      <c r="E45">
        <v>154.15600000000001</v>
      </c>
      <c r="F45">
        <v>140.47800000000001</v>
      </c>
      <c r="G45">
        <v>150.5044</v>
      </c>
      <c r="H45">
        <v>133.90190000000001</v>
      </c>
      <c r="I45">
        <v>132.11170000000001</v>
      </c>
      <c r="J45">
        <v>167.7936</v>
      </c>
      <c r="K45">
        <v>135.36330000000001</v>
      </c>
      <c r="L45">
        <v>132.11170000000001</v>
      </c>
      <c r="M45">
        <v>140.47800000000001</v>
      </c>
      <c r="N45" s="13">
        <f t="shared" si="10"/>
        <v>8.8728301201380394E-2</v>
      </c>
      <c r="O45" s="13">
        <f t="shared" si="11"/>
        <v>2.3687692986325552E-2</v>
      </c>
      <c r="P45" s="13">
        <f t="shared" si="12"/>
        <v>0.13138703650847189</v>
      </c>
      <c r="Q45" s="13">
        <f t="shared" si="13"/>
        <v>0.14299994810451744</v>
      </c>
      <c r="R45" s="13">
        <f t="shared" si="14"/>
        <v>-8.8466229014764211E-2</v>
      </c>
      <c r="S45" s="13">
        <f t="shared" si="15"/>
        <v>0.12190702924310436</v>
      </c>
      <c r="T45" s="13">
        <f t="shared" si="16"/>
        <v>0.14299994810451744</v>
      </c>
      <c r="U45" s="7">
        <f t="shared" si="17"/>
        <v>8.8728301201380394E-2</v>
      </c>
      <c r="V45">
        <v>131.48099999999999</v>
      </c>
      <c r="W45">
        <v>139.28200000000001</v>
      </c>
      <c r="X45">
        <v>129.38730000000001</v>
      </c>
      <c r="Y45">
        <v>133.59469999999999</v>
      </c>
      <c r="Z45">
        <v>131.86199999999999</v>
      </c>
      <c r="AA45">
        <v>166.65389999999999</v>
      </c>
      <c r="AB45">
        <v>134.84119999999999</v>
      </c>
      <c r="AC45">
        <v>131.86199999999999</v>
      </c>
      <c r="AD45">
        <v>139.28200000000001</v>
      </c>
      <c r="AE45" s="14">
        <f>Tabla13[[#This Row],[Calculated HEFT_NC]]/Tabla13[[#This Row],[Real HEFT_NC]]</f>
        <v>0.85290874179402676</v>
      </c>
      <c r="AF45" s="14">
        <f>Tabla13[[#This Row],[Calculated HEFT_DNC]]/Tabla13[[#This Row],[Real HEFT_DNC]]</f>
        <v>0.99148621136405701</v>
      </c>
      <c r="AG45" s="14">
        <f>Tabla13[[#This Row],[Calculated GA_NC]]/Tabla13[[#This Row],[Real GA_NC]]</f>
        <v>0.85969114524226542</v>
      </c>
      <c r="AH45" s="15">
        <f>Tabla13[[#This Row],[Calculated GA_DNC]]/Tabla13[[#This Row],[Real GA_DNC]]</f>
        <v>0.99770578311435443</v>
      </c>
      <c r="AI45" s="15">
        <f>Tabla13[[#This Row],[Calculated HGA_(Ph2)]]/Tabla13[[#This Row],[Real HGA_(Ph2)]]</f>
        <v>0.99810993273116599</v>
      </c>
      <c r="AJ45" s="15">
        <f>Tabla13[[#This Row],[Calculated HGA_(Ph1)]]/Tabla13[[#This Row],[Real HGA_(Ph1)]]</f>
        <v>0.99320772663558088</v>
      </c>
      <c r="AK45" s="15">
        <f>Tabla13[[#This Row],[Calculated HGA^H]]/Tabla13[[#This Row],[Real GA^H]]</f>
        <v>0.99614297228273818</v>
      </c>
      <c r="AL45" s="15">
        <f>Tabla13[[#This Row],[Calculated HGA_(Ph2)^H]]/Tabla13[[#This Row],[Real HGA_(Ph2)^H]]</f>
        <v>0.99810993273116599</v>
      </c>
      <c r="AM45" s="15">
        <f>Tabla13[[#This Row],[Calculated HGA_(Ph1)^H]]/Tabla13[[#This Row],[Real HGA_(Ph1)^H]]</f>
        <v>0.99148621136405701</v>
      </c>
      <c r="AU45"/>
      <c r="AV45"/>
      <c r="AW45"/>
    </row>
    <row r="46" spans="1:49">
      <c r="A46" s="6" t="str">
        <f t="shared" si="9"/>
        <v>epigenomics</v>
      </c>
      <c r="B46" t="s">
        <v>10</v>
      </c>
      <c r="C46">
        <f>_xlfn.XLOOKUP(B46,Instances!$B$2:$B$29,Instances!$A$2:$A$29,,0,1)</f>
        <v>41</v>
      </c>
      <c r="D46">
        <v>16</v>
      </c>
      <c r="E46">
        <v>131.73500000000001</v>
      </c>
      <c r="F46">
        <v>107.648</v>
      </c>
      <c r="G46">
        <v>125.0543</v>
      </c>
      <c r="H46">
        <v>108.005</v>
      </c>
      <c r="I46">
        <v>107.64149999999999</v>
      </c>
      <c r="J46">
        <v>113.8237</v>
      </c>
      <c r="K46">
        <v>107.8811</v>
      </c>
      <c r="L46">
        <v>107.648</v>
      </c>
      <c r="M46">
        <v>107.648</v>
      </c>
      <c r="N46" s="13">
        <f t="shared" si="10"/>
        <v>0.18284434660492668</v>
      </c>
      <c r="O46" s="13">
        <f t="shared" si="11"/>
        <v>5.0713174175428061E-2</v>
      </c>
      <c r="P46" s="13">
        <f t="shared" si="12"/>
        <v>0.18013436064827126</v>
      </c>
      <c r="Q46" s="13">
        <f t="shared" si="13"/>
        <v>0.18289368808593023</v>
      </c>
      <c r="R46" s="13">
        <f t="shared" si="14"/>
        <v>0.13596462595361908</v>
      </c>
      <c r="S46" s="13">
        <f t="shared" si="15"/>
        <v>0.18107488518616927</v>
      </c>
      <c r="T46" s="13">
        <f t="shared" si="16"/>
        <v>0.18284434660492668</v>
      </c>
      <c r="U46" s="7">
        <f t="shared" si="17"/>
        <v>0.18284434660492668</v>
      </c>
      <c r="V46">
        <v>104.822</v>
      </c>
      <c r="W46">
        <v>107.10299999999999</v>
      </c>
      <c r="X46">
        <v>104.8563</v>
      </c>
      <c r="Y46">
        <v>107.1284</v>
      </c>
      <c r="Z46">
        <v>107.10299999999999</v>
      </c>
      <c r="AA46">
        <v>112.64879999999999</v>
      </c>
      <c r="AB46">
        <v>107.10299999999999</v>
      </c>
      <c r="AC46">
        <v>107.10299999999999</v>
      </c>
      <c r="AD46">
        <v>107.10299999999999</v>
      </c>
      <c r="AE46" s="14">
        <f>Tabla13[[#This Row],[Calculated HEFT_NC]]/Tabla13[[#This Row],[Real HEFT_NC]]</f>
        <v>0.7957034956541541</v>
      </c>
      <c r="AF46" s="14">
        <f>Tabla13[[#This Row],[Calculated HEFT_DNC]]/Tabla13[[#This Row],[Real HEFT_DNC]]</f>
        <v>0.99493720273483943</v>
      </c>
      <c r="AG46" s="14">
        <f>Tabla13[[#This Row],[Calculated GA_NC]]/Tabla13[[#This Row],[Real GA_NC]]</f>
        <v>0.83848616161139611</v>
      </c>
      <c r="AH46" s="15">
        <f>Tabla13[[#This Row],[Calculated GA_DNC]]/Tabla13[[#This Row],[Real GA_DNC]]</f>
        <v>0.99188370908754231</v>
      </c>
      <c r="AI46" s="15">
        <f>Tabla13[[#This Row],[Calculated HGA_(Ph2)]]/Tabla13[[#This Row],[Real HGA_(Ph2)]]</f>
        <v>0.99499728264656295</v>
      </c>
      <c r="AJ46" s="15">
        <f>Tabla13[[#This Row],[Calculated HGA_(Ph1)]]/Tabla13[[#This Row],[Real HGA_(Ph1)]]</f>
        <v>0.98967789660676986</v>
      </c>
      <c r="AK46" s="15">
        <f>Tabla13[[#This Row],[Calculated HGA^H]]/Tabla13[[#This Row],[Real GA^H]]</f>
        <v>0.99278742986491597</v>
      </c>
      <c r="AL46" s="15">
        <f>Tabla13[[#This Row],[Calculated HGA_(Ph2)^H]]/Tabla13[[#This Row],[Real HGA_(Ph2)^H]]</f>
        <v>0.99493720273483943</v>
      </c>
      <c r="AM46" s="15">
        <f>Tabla13[[#This Row],[Calculated HGA_(Ph1)^H]]/Tabla13[[#This Row],[Real HGA_(Ph1)^H]]</f>
        <v>0.99493720273483943</v>
      </c>
      <c r="AU46"/>
      <c r="AV46"/>
      <c r="AW46"/>
    </row>
    <row r="47" spans="1:49">
      <c r="A47" s="6" t="str">
        <f t="shared" si="9"/>
        <v>epigenomics</v>
      </c>
      <c r="B47" t="s">
        <v>12</v>
      </c>
      <c r="C47">
        <f>_xlfn.XLOOKUP(B47,Instances!$B$2:$B$29,Instances!$A$2:$A$29,,0,1)</f>
        <v>507</v>
      </c>
      <c r="D47">
        <v>1</v>
      </c>
      <c r="E47">
        <v>14094.5</v>
      </c>
      <c r="F47">
        <v>14094.5</v>
      </c>
      <c r="G47">
        <v>14094.5</v>
      </c>
      <c r="H47">
        <v>14094.5</v>
      </c>
      <c r="I47">
        <v>14094.5</v>
      </c>
      <c r="J47">
        <v>14094.5</v>
      </c>
      <c r="K47">
        <v>14094.5</v>
      </c>
      <c r="L47">
        <v>14094.5</v>
      </c>
      <c r="M47">
        <v>14094.5</v>
      </c>
      <c r="N47" s="13">
        <f t="shared" si="10"/>
        <v>0</v>
      </c>
      <c r="O47" s="13">
        <f t="shared" si="11"/>
        <v>0</v>
      </c>
      <c r="P47" s="13">
        <f t="shared" si="12"/>
        <v>0</v>
      </c>
      <c r="Q47" s="13">
        <f t="shared" si="13"/>
        <v>0</v>
      </c>
      <c r="R47" s="13">
        <f t="shared" si="14"/>
        <v>0</v>
      </c>
      <c r="S47" s="13">
        <f t="shared" si="15"/>
        <v>0</v>
      </c>
      <c r="T47" s="13">
        <f t="shared" si="16"/>
        <v>0</v>
      </c>
      <c r="U47" s="7">
        <f t="shared" si="17"/>
        <v>0</v>
      </c>
      <c r="V47">
        <v>13218.4</v>
      </c>
      <c r="W47">
        <v>14093.8</v>
      </c>
      <c r="X47">
        <v>13218.4</v>
      </c>
      <c r="Y47">
        <v>14093.8</v>
      </c>
      <c r="Z47">
        <v>14093.8</v>
      </c>
      <c r="AA47">
        <v>14093.8</v>
      </c>
      <c r="AB47">
        <v>14093.8</v>
      </c>
      <c r="AC47">
        <v>14093.8</v>
      </c>
      <c r="AD47">
        <v>14093.8</v>
      </c>
      <c r="AE47" s="14">
        <f>Tabla13[[#This Row],[Calculated HEFT_NC]]/Tabla13[[#This Row],[Real HEFT_NC]]</f>
        <v>0.93784100180921637</v>
      </c>
      <c r="AF47" s="14">
        <f>Tabla13[[#This Row],[Calculated HEFT_DNC]]/Tabla13[[#This Row],[Real HEFT_DNC]]</f>
        <v>0.99995033523714916</v>
      </c>
      <c r="AG47" s="14">
        <f>Tabla13[[#This Row],[Calculated GA_NC]]/Tabla13[[#This Row],[Real GA_NC]]</f>
        <v>0.93784100180921637</v>
      </c>
      <c r="AH47" s="15">
        <f>Tabla13[[#This Row],[Calculated GA_DNC]]/Tabla13[[#This Row],[Real GA_DNC]]</f>
        <v>0.99995033523714916</v>
      </c>
      <c r="AI47" s="15">
        <f>Tabla13[[#This Row],[Calculated HGA_(Ph2)]]/Tabla13[[#This Row],[Real HGA_(Ph2)]]</f>
        <v>0.99995033523714916</v>
      </c>
      <c r="AJ47" s="15">
        <f>Tabla13[[#This Row],[Calculated HGA_(Ph1)]]/Tabla13[[#This Row],[Real HGA_(Ph1)]]</f>
        <v>0.99995033523714916</v>
      </c>
      <c r="AK47" s="15">
        <f>Tabla13[[#This Row],[Calculated HGA^H]]/Tabla13[[#This Row],[Real GA^H]]</f>
        <v>0.99995033523714916</v>
      </c>
      <c r="AL47" s="15">
        <f>Tabla13[[#This Row],[Calculated HGA_(Ph2)^H]]/Tabla13[[#This Row],[Real HGA_(Ph2)^H]]</f>
        <v>0.99995033523714916</v>
      </c>
      <c r="AM47" s="15">
        <f>Tabla13[[#This Row],[Calculated HGA_(Ph1)^H]]/Tabla13[[#This Row],[Real HGA_(Ph1)^H]]</f>
        <v>0.99995033523714916</v>
      </c>
      <c r="AU47"/>
      <c r="AV47"/>
      <c r="AW47"/>
    </row>
    <row r="48" spans="1:49">
      <c r="A48" s="6" t="str">
        <f t="shared" si="9"/>
        <v>epigenomics</v>
      </c>
      <c r="B48" t="s">
        <v>12</v>
      </c>
      <c r="C48">
        <f>_xlfn.XLOOKUP(B48,Instances!$B$2:$B$29,Instances!$A$2:$A$29,,0,1)</f>
        <v>507</v>
      </c>
      <c r="D48">
        <v>2</v>
      </c>
      <c r="E48">
        <v>7034.0399999999991</v>
      </c>
      <c r="F48">
        <v>6883.5</v>
      </c>
      <c r="G48">
        <v>7053.63</v>
      </c>
      <c r="H48">
        <v>6880.8459999999995</v>
      </c>
      <c r="I48">
        <v>6836.6789999999992</v>
      </c>
      <c r="J48">
        <v>7243.753999999999</v>
      </c>
      <c r="K48">
        <v>6877.6740000000009</v>
      </c>
      <c r="L48">
        <v>6840.1399999999994</v>
      </c>
      <c r="M48">
        <v>6883.5</v>
      </c>
      <c r="N48" s="13">
        <f t="shared" si="10"/>
        <v>2.1401641162120073E-2</v>
      </c>
      <c r="O48" s="13">
        <f t="shared" si="11"/>
        <v>-2.7850282341301811E-3</v>
      </c>
      <c r="P48" s="13">
        <f t="shared" si="12"/>
        <v>2.1778949224058937E-2</v>
      </c>
      <c r="Q48" s="13">
        <f t="shared" si="13"/>
        <v>2.8057986590920708E-2</v>
      </c>
      <c r="R48" s="13">
        <f t="shared" si="14"/>
        <v>-2.9814160852084999E-2</v>
      </c>
      <c r="S48" s="13">
        <f t="shared" si="15"/>
        <v>2.2229899176006703E-2</v>
      </c>
      <c r="T48" s="13">
        <f t="shared" si="16"/>
        <v>2.7565950719643285E-2</v>
      </c>
      <c r="U48" s="7">
        <f t="shared" si="17"/>
        <v>2.1401641162120073E-2</v>
      </c>
      <c r="V48">
        <v>6644.5399999999991</v>
      </c>
      <c r="W48">
        <v>6874.4799999999987</v>
      </c>
      <c r="X48">
        <v>6644.1639999999989</v>
      </c>
      <c r="Y48">
        <v>6871.6660000000002</v>
      </c>
      <c r="Z48">
        <v>6830.7359999999999</v>
      </c>
      <c r="AA48">
        <v>7233.125</v>
      </c>
      <c r="AB48">
        <v>6867.7610000000004</v>
      </c>
      <c r="AC48">
        <v>6833.1849999999986</v>
      </c>
      <c r="AD48">
        <v>6874.4799999999987</v>
      </c>
      <c r="AE48" s="14">
        <f>Tabla13[[#This Row],[Calculated HEFT_NC]]/Tabla13[[#This Row],[Real HEFT_NC]]</f>
        <v>0.94462641668230485</v>
      </c>
      <c r="AF48" s="14">
        <f>Tabla13[[#This Row],[Calculated HEFT_DNC]]/Tabla13[[#This Row],[Real HEFT_DNC]]</f>
        <v>0.99868962010605056</v>
      </c>
      <c r="AG48" s="14">
        <f>Tabla13[[#This Row],[Calculated GA_NC]]/Tabla13[[#This Row],[Real GA_NC]]</f>
        <v>0.94194960608934675</v>
      </c>
      <c r="AH48" s="15">
        <f>Tabla13[[#This Row],[Calculated GA_DNC]]/Tabla13[[#This Row],[Real GA_DNC]]</f>
        <v>0.99866586172688654</v>
      </c>
      <c r="AI48" s="15">
        <f>Tabla13[[#This Row],[Calculated HGA_(Ph2)]]/Tabla13[[#This Row],[Real HGA_(Ph2)]]</f>
        <v>0.99913071829173206</v>
      </c>
      <c r="AJ48" s="15">
        <f>Tabla13[[#This Row],[Calculated HGA_(Ph1)]]/Tabla13[[#This Row],[Real HGA_(Ph1)]]</f>
        <v>0.99853266690171993</v>
      </c>
      <c r="AK48" s="15">
        <f>Tabla13[[#This Row],[Calculated HGA^H]]/Tabla13[[#This Row],[Real GA^H]]</f>
        <v>0.99855866968978169</v>
      </c>
      <c r="AL48" s="15">
        <f>Tabla13[[#This Row],[Calculated HGA_(Ph2)^H]]/Tabla13[[#This Row],[Real HGA_(Ph2)^H]]</f>
        <v>0.99898320794603612</v>
      </c>
      <c r="AM48" s="15">
        <f>Tabla13[[#This Row],[Calculated HGA_(Ph1)^H]]/Tabla13[[#This Row],[Real HGA_(Ph1)^H]]</f>
        <v>0.99868962010605056</v>
      </c>
      <c r="AU48"/>
      <c r="AV48"/>
      <c r="AW48"/>
    </row>
    <row r="49" spans="1:49">
      <c r="A49" s="6" t="str">
        <f t="shared" si="9"/>
        <v>epigenomics</v>
      </c>
      <c r="B49" t="s">
        <v>12</v>
      </c>
      <c r="C49">
        <f>_xlfn.XLOOKUP(B49,Instances!$B$2:$B$29,Instances!$A$2:$A$29,,0,1)</f>
        <v>507</v>
      </c>
      <c r="D49">
        <v>4</v>
      </c>
      <c r="E49">
        <v>3771.6799999999989</v>
      </c>
      <c r="F49">
        <v>3636.98</v>
      </c>
      <c r="G49">
        <v>3649.444</v>
      </c>
      <c r="H49">
        <v>3583.143</v>
      </c>
      <c r="I49">
        <v>3479.0569999999989</v>
      </c>
      <c r="J49">
        <v>4359.5030000000006</v>
      </c>
      <c r="K49">
        <v>3599.9229999999998</v>
      </c>
      <c r="L49">
        <v>3477.41</v>
      </c>
      <c r="M49">
        <v>3636.98</v>
      </c>
      <c r="N49" s="13">
        <f t="shared" si="10"/>
        <v>3.5713528189029543E-2</v>
      </c>
      <c r="O49" s="13">
        <f t="shared" si="11"/>
        <v>3.2408900012726158E-2</v>
      </c>
      <c r="P49" s="13">
        <f t="shared" si="12"/>
        <v>4.99875387095403E-2</v>
      </c>
      <c r="Q49" s="13">
        <f t="shared" si="13"/>
        <v>7.7584259534212899E-2</v>
      </c>
      <c r="R49" s="13">
        <f t="shared" si="14"/>
        <v>-0.15585176897297806</v>
      </c>
      <c r="S49" s="13">
        <f t="shared" si="15"/>
        <v>4.5538592881686463E-2</v>
      </c>
      <c r="T49" s="13">
        <f t="shared" si="16"/>
        <v>7.8020934967971606E-2</v>
      </c>
      <c r="U49" s="7">
        <f t="shared" si="17"/>
        <v>3.5713528189029543E-2</v>
      </c>
      <c r="V49">
        <v>3525.11</v>
      </c>
      <c r="W49">
        <v>3630.75</v>
      </c>
      <c r="X49">
        <v>3437.2310000000002</v>
      </c>
      <c r="Y49">
        <v>3575.8440000000001</v>
      </c>
      <c r="Z49">
        <v>3471.91</v>
      </c>
      <c r="AA49">
        <v>4350.7</v>
      </c>
      <c r="AB49">
        <v>3592.1610000000001</v>
      </c>
      <c r="AC49">
        <v>3470.4679999999998</v>
      </c>
      <c r="AD49">
        <v>3630.75</v>
      </c>
      <c r="AE49" s="14">
        <f>Tabla13[[#This Row],[Calculated HEFT_NC]]/Tabla13[[#This Row],[Real HEFT_NC]]</f>
        <v>0.93462594917914599</v>
      </c>
      <c r="AF49" s="14">
        <f>Tabla13[[#This Row],[Calculated HEFT_DNC]]/Tabla13[[#This Row],[Real HEFT_DNC]]</f>
        <v>0.99828704034666127</v>
      </c>
      <c r="AG49" s="14">
        <f>Tabla13[[#This Row],[Calculated GA_NC]]/Tabla13[[#This Row],[Real GA_NC]]</f>
        <v>0.94185059422750428</v>
      </c>
      <c r="AH49" s="15">
        <f>Tabla13[[#This Row],[Calculated GA_DNC]]/Tabla13[[#This Row],[Real GA_DNC]]</f>
        <v>0.99796296156754005</v>
      </c>
      <c r="AI49" s="15">
        <f>Tabla13[[#This Row],[Calculated HGA_(Ph2)]]/Tabla13[[#This Row],[Real HGA_(Ph2)]]</f>
        <v>0.99794570770182867</v>
      </c>
      <c r="AJ49" s="15">
        <f>Tabla13[[#This Row],[Calculated HGA_(Ph1)]]/Tabla13[[#This Row],[Real HGA_(Ph1)]]</f>
        <v>0.99798073312485369</v>
      </c>
      <c r="AK49" s="15">
        <f>Tabla13[[#This Row],[Calculated HGA^H]]/Tabla13[[#This Row],[Real GA^H]]</f>
        <v>0.99784384277108162</v>
      </c>
      <c r="AL49" s="15">
        <f>Tabla13[[#This Row],[Calculated HGA_(Ph2)^H]]/Tabla13[[#This Row],[Real HGA_(Ph2)^H]]</f>
        <v>0.99800368665184724</v>
      </c>
      <c r="AM49" s="15">
        <f>Tabla13[[#This Row],[Calculated HGA_(Ph1)^H]]/Tabla13[[#This Row],[Real HGA_(Ph1)^H]]</f>
        <v>0.99828704034666127</v>
      </c>
      <c r="AU49"/>
      <c r="AV49"/>
      <c r="AW49"/>
    </row>
    <row r="50" spans="1:49">
      <c r="A50" s="6" t="str">
        <f t="shared" si="9"/>
        <v>epigenomics</v>
      </c>
      <c r="B50" t="s">
        <v>12</v>
      </c>
      <c r="C50">
        <f>_xlfn.XLOOKUP(B50,Instances!$B$2:$B$29,Instances!$A$2:$A$29,,0,1)</f>
        <v>507</v>
      </c>
      <c r="D50">
        <v>8</v>
      </c>
      <c r="E50">
        <v>2170.0300000000002</v>
      </c>
      <c r="F50">
        <v>2072.12</v>
      </c>
      <c r="G50">
        <v>2055.306</v>
      </c>
      <c r="H50">
        <v>2016.2629999999999</v>
      </c>
      <c r="I50">
        <v>1838.8530000000001</v>
      </c>
      <c r="J50">
        <v>2838.3560000000002</v>
      </c>
      <c r="K50">
        <v>2041.9179999999999</v>
      </c>
      <c r="L50">
        <v>1820.3779999999999</v>
      </c>
      <c r="M50">
        <v>2072.12</v>
      </c>
      <c r="N50" s="13">
        <f t="shared" si="10"/>
        <v>4.5119191900572939E-2</v>
      </c>
      <c r="O50" s="13">
        <f t="shared" si="11"/>
        <v>5.2867471878269033E-2</v>
      </c>
      <c r="P50" s="13">
        <f t="shared" si="12"/>
        <v>7.0859389040704629E-2</v>
      </c>
      <c r="Q50" s="13">
        <f t="shared" si="13"/>
        <v>0.15261401916102546</v>
      </c>
      <c r="R50" s="13">
        <f t="shared" si="14"/>
        <v>-0.30798007400819344</v>
      </c>
      <c r="S50" s="13">
        <f t="shared" si="15"/>
        <v>5.9036971839099138E-2</v>
      </c>
      <c r="T50" s="13">
        <f t="shared" si="16"/>
        <v>0.16112772634479719</v>
      </c>
      <c r="U50" s="7">
        <f t="shared" si="17"/>
        <v>4.5119191900572939E-2</v>
      </c>
      <c r="V50">
        <v>2011.4</v>
      </c>
      <c r="W50">
        <v>2066.21</v>
      </c>
      <c r="X50">
        <v>1938.145</v>
      </c>
      <c r="Y50">
        <v>2011.56</v>
      </c>
      <c r="Z50">
        <v>1833.6959999999999</v>
      </c>
      <c r="AA50">
        <v>2831.4609999999998</v>
      </c>
      <c r="AB50">
        <v>2037.3789999999999</v>
      </c>
      <c r="AC50">
        <v>1814.809</v>
      </c>
      <c r="AD50">
        <v>2066.21</v>
      </c>
      <c r="AE50" s="14">
        <f>Tabla13[[#This Row],[Calculated HEFT_NC]]/Tabla13[[#This Row],[Real HEFT_NC]]</f>
        <v>0.92689962811574034</v>
      </c>
      <c r="AF50" s="14">
        <f>Tabla13[[#This Row],[Calculated HEFT_DNC]]/Tabla13[[#This Row],[Real HEFT_DNC]]</f>
        <v>0.99714784858019812</v>
      </c>
      <c r="AG50" s="14">
        <f>Tabla13[[#This Row],[Calculated GA_NC]]/Tabla13[[#This Row],[Real GA_NC]]</f>
        <v>0.94299583614313387</v>
      </c>
      <c r="AH50" s="15">
        <f>Tabla13[[#This Row],[Calculated GA_DNC]]/Tabla13[[#This Row],[Real GA_DNC]]</f>
        <v>0.99766746699215336</v>
      </c>
      <c r="AI50" s="15">
        <f>Tabla13[[#This Row],[Calculated HGA_(Ph2)]]/Tabla13[[#This Row],[Real HGA_(Ph2)]]</f>
        <v>0.99719553439018771</v>
      </c>
      <c r="AJ50" s="15">
        <f>Tabla13[[#This Row],[Calculated HGA_(Ph1)]]/Tabla13[[#This Row],[Real HGA_(Ph1)]]</f>
        <v>0.99757077688633833</v>
      </c>
      <c r="AK50" s="15">
        <f>Tabla13[[#This Row],[Calculated HGA^H]]/Tabla13[[#This Row],[Real GA^H]]</f>
        <v>0.99777708997129166</v>
      </c>
      <c r="AL50" s="15">
        <f>Tabla13[[#This Row],[Calculated HGA_(Ph2)^H]]/Tabla13[[#This Row],[Real HGA_(Ph2)^H]]</f>
        <v>0.99694074527378385</v>
      </c>
      <c r="AM50" s="15">
        <f>Tabla13[[#This Row],[Calculated HGA_(Ph1)^H]]/Tabla13[[#This Row],[Real HGA_(Ph1)^H]]</f>
        <v>0.99714784858019812</v>
      </c>
      <c r="AU50"/>
      <c r="AV50"/>
      <c r="AW50"/>
    </row>
    <row r="51" spans="1:49">
      <c r="A51" s="6" t="str">
        <f t="shared" si="9"/>
        <v>epigenomics</v>
      </c>
      <c r="B51" t="s">
        <v>12</v>
      </c>
      <c r="C51">
        <f>_xlfn.XLOOKUP(B51,Instances!$B$2:$B$29,Instances!$A$2:$A$29,,0,1)</f>
        <v>507</v>
      </c>
      <c r="D51">
        <v>16</v>
      </c>
      <c r="E51">
        <v>1368.62</v>
      </c>
      <c r="F51">
        <v>1297.92</v>
      </c>
      <c r="G51">
        <v>1303.0309999999999</v>
      </c>
      <c r="H51">
        <v>1233.633</v>
      </c>
      <c r="I51">
        <v>1009.3937</v>
      </c>
      <c r="J51">
        <v>1928.1320000000001</v>
      </c>
      <c r="K51">
        <v>1262.5450000000001</v>
      </c>
      <c r="L51">
        <v>1008.6476</v>
      </c>
      <c r="M51">
        <v>1297.92</v>
      </c>
      <c r="N51" s="13">
        <f t="shared" si="10"/>
        <v>5.1657874355189773E-2</v>
      </c>
      <c r="O51" s="13">
        <f t="shared" si="11"/>
        <v>4.7923455743741836E-2</v>
      </c>
      <c r="P51" s="13">
        <f t="shared" si="12"/>
        <v>9.8630006868232131E-2</v>
      </c>
      <c r="Q51" s="13">
        <f t="shared" si="13"/>
        <v>0.26247336733351839</v>
      </c>
      <c r="R51" s="13">
        <f t="shared" si="14"/>
        <v>-0.40881471847554485</v>
      </c>
      <c r="S51" s="13">
        <f t="shared" si="15"/>
        <v>7.7505078107874964E-2</v>
      </c>
      <c r="T51" s="13">
        <f t="shared" si="16"/>
        <v>0.26301851500051138</v>
      </c>
      <c r="U51" s="7">
        <f t="shared" si="17"/>
        <v>5.1657874355189773E-2</v>
      </c>
      <c r="V51">
        <v>1260.33</v>
      </c>
      <c r="W51">
        <v>1292.8900000000001</v>
      </c>
      <c r="X51">
        <v>1214.5309999999999</v>
      </c>
      <c r="Y51">
        <v>1229.499</v>
      </c>
      <c r="Z51">
        <v>1005.4189</v>
      </c>
      <c r="AA51">
        <v>1922.652</v>
      </c>
      <c r="AB51">
        <v>1258.4680000000001</v>
      </c>
      <c r="AC51">
        <v>1004.7338999999999</v>
      </c>
      <c r="AD51">
        <v>1292.8900000000001</v>
      </c>
      <c r="AE51" s="14">
        <f>Tabla13[[#This Row],[Calculated HEFT_NC]]/Tabla13[[#This Row],[Real HEFT_NC]]</f>
        <v>0.92087650333912996</v>
      </c>
      <c r="AF51" s="14">
        <f>Tabla13[[#This Row],[Calculated HEFT_DNC]]/Tabla13[[#This Row],[Real HEFT_DNC]]</f>
        <v>0.99612456854043396</v>
      </c>
      <c r="AG51" s="14">
        <f>Tabla13[[#This Row],[Calculated GA_NC]]/Tabla13[[#This Row],[Real GA_NC]]</f>
        <v>0.93208143167737378</v>
      </c>
      <c r="AH51" s="15">
        <f>Tabla13[[#This Row],[Calculated GA_DNC]]/Tabla13[[#This Row],[Real GA_DNC]]</f>
        <v>0.99664892232941238</v>
      </c>
      <c r="AI51" s="15">
        <f>Tabla13[[#This Row],[Calculated HGA_(Ph2)]]/Tabla13[[#This Row],[Real HGA_(Ph2)]]</f>
        <v>0.99606219060015933</v>
      </c>
      <c r="AJ51" s="15">
        <f>Tabla13[[#This Row],[Calculated HGA_(Ph1)]]/Tabla13[[#This Row],[Real HGA_(Ph1)]]</f>
        <v>0.99715787093414765</v>
      </c>
      <c r="AK51" s="15">
        <f>Tabla13[[#This Row],[Calculated HGA^H]]/Tabla13[[#This Row],[Real GA^H]]</f>
        <v>0.99677080816921382</v>
      </c>
      <c r="AL51" s="15">
        <f>Tabla13[[#This Row],[Calculated HGA_(Ph2)^H]]/Tabla13[[#This Row],[Real HGA_(Ph2)^H]]</f>
        <v>0.99611985395097347</v>
      </c>
      <c r="AM51" s="15">
        <f>Tabla13[[#This Row],[Calculated HGA_(Ph1)^H]]/Tabla13[[#This Row],[Real HGA_(Ph1)^H]]</f>
        <v>0.99612456854043396</v>
      </c>
      <c r="AU51"/>
      <c r="AV51"/>
      <c r="AW51"/>
    </row>
    <row r="52" spans="1:49">
      <c r="A52" s="6" t="str">
        <f t="shared" si="9"/>
        <v>epigenomics</v>
      </c>
      <c r="B52" t="s">
        <v>11</v>
      </c>
      <c r="C52">
        <f>_xlfn.XLOOKUP(B52,Instances!$B$2:$B$29,Instances!$A$2:$A$29,,0,1)</f>
        <v>125</v>
      </c>
      <c r="D52">
        <v>1</v>
      </c>
      <c r="E52">
        <v>2809.08</v>
      </c>
      <c r="F52">
        <v>2809.08</v>
      </c>
      <c r="G52">
        <v>2809.08</v>
      </c>
      <c r="H52">
        <v>2809.08</v>
      </c>
      <c r="I52">
        <v>2809.08</v>
      </c>
      <c r="J52">
        <v>2809.08</v>
      </c>
      <c r="K52">
        <v>2809.08</v>
      </c>
      <c r="L52">
        <v>2809.08</v>
      </c>
      <c r="M52">
        <v>2809.08</v>
      </c>
      <c r="N52" s="13">
        <f t="shared" si="10"/>
        <v>0</v>
      </c>
      <c r="O52" s="13">
        <f t="shared" si="11"/>
        <v>0</v>
      </c>
      <c r="P52" s="13">
        <f t="shared" si="12"/>
        <v>0</v>
      </c>
      <c r="Q52" s="13">
        <f t="shared" si="13"/>
        <v>0</v>
      </c>
      <c r="R52" s="13">
        <f t="shared" si="14"/>
        <v>0</v>
      </c>
      <c r="S52" s="13">
        <f t="shared" si="15"/>
        <v>0</v>
      </c>
      <c r="T52" s="13">
        <f t="shared" si="16"/>
        <v>0</v>
      </c>
      <c r="U52" s="7">
        <f t="shared" si="17"/>
        <v>0</v>
      </c>
      <c r="V52">
        <v>2578.349999999999</v>
      </c>
      <c r="W52">
        <v>2808.89</v>
      </c>
      <c r="X52">
        <v>2578.34</v>
      </c>
      <c r="Y52">
        <v>2808.89</v>
      </c>
      <c r="Z52">
        <v>2808.89</v>
      </c>
      <c r="AA52">
        <v>2808.89</v>
      </c>
      <c r="AB52">
        <v>2808.89</v>
      </c>
      <c r="AC52">
        <v>2808.89</v>
      </c>
      <c r="AD52">
        <v>2808.89</v>
      </c>
      <c r="AE52" s="14">
        <f>Tabla13[[#This Row],[Calculated HEFT_NC]]/Tabla13[[#This Row],[Real HEFT_NC]]</f>
        <v>0.91786278781665143</v>
      </c>
      <c r="AF52" s="14">
        <f>Tabla13[[#This Row],[Calculated HEFT_DNC]]/Tabla13[[#This Row],[Real HEFT_DNC]]</f>
        <v>0.99993236219687587</v>
      </c>
      <c r="AG52" s="14">
        <f>Tabla13[[#This Row],[Calculated GA_NC]]/Tabla13[[#This Row],[Real GA_NC]]</f>
        <v>0.91785922793227681</v>
      </c>
      <c r="AH52" s="15">
        <f>Tabla13[[#This Row],[Calculated GA_DNC]]/Tabla13[[#This Row],[Real GA_DNC]]</f>
        <v>0.99993236219687587</v>
      </c>
      <c r="AI52" s="15">
        <f>Tabla13[[#This Row],[Calculated HGA_(Ph2)]]/Tabla13[[#This Row],[Real HGA_(Ph2)]]</f>
        <v>0.99993236219687587</v>
      </c>
      <c r="AJ52" s="15">
        <f>Tabla13[[#This Row],[Calculated HGA_(Ph1)]]/Tabla13[[#This Row],[Real HGA_(Ph1)]]</f>
        <v>0.99993236219687587</v>
      </c>
      <c r="AK52" s="15">
        <f>Tabla13[[#This Row],[Calculated HGA^H]]/Tabla13[[#This Row],[Real GA^H]]</f>
        <v>0.99993236219687587</v>
      </c>
      <c r="AL52" s="15">
        <f>Tabla13[[#This Row],[Calculated HGA_(Ph2)^H]]/Tabla13[[#This Row],[Real HGA_(Ph2)^H]]</f>
        <v>0.99993236219687587</v>
      </c>
      <c r="AM52" s="15">
        <f>Tabla13[[#This Row],[Calculated HGA_(Ph1)^H]]/Tabla13[[#This Row],[Real HGA_(Ph1)^H]]</f>
        <v>0.99993236219687587</v>
      </c>
      <c r="AU52"/>
      <c r="AV52"/>
      <c r="AW52"/>
    </row>
    <row r="53" spans="1:49">
      <c r="A53" s="6" t="str">
        <f t="shared" si="9"/>
        <v>epigenomics</v>
      </c>
      <c r="B53" t="s">
        <v>11</v>
      </c>
      <c r="C53">
        <f>_xlfn.XLOOKUP(B53,Instances!$B$2:$B$29,Instances!$A$2:$A$29,,0,1)</f>
        <v>125</v>
      </c>
      <c r="D53">
        <v>2</v>
      </c>
      <c r="E53">
        <v>1477.4</v>
      </c>
      <c r="F53">
        <v>1374.82</v>
      </c>
      <c r="G53">
        <v>1424.75</v>
      </c>
      <c r="H53">
        <v>1358.8789999999999</v>
      </c>
      <c r="I53">
        <v>1354.1379999999999</v>
      </c>
      <c r="J53">
        <v>1367.586</v>
      </c>
      <c r="K53">
        <v>1358.403</v>
      </c>
      <c r="L53">
        <v>1354.0840000000001</v>
      </c>
      <c r="M53">
        <v>1360.768</v>
      </c>
      <c r="N53" s="13">
        <f t="shared" si="10"/>
        <v>6.943278732909175E-2</v>
      </c>
      <c r="O53" s="13">
        <f t="shared" si="11"/>
        <v>3.5636929741437721E-2</v>
      </c>
      <c r="P53" s="13">
        <f t="shared" si="12"/>
        <v>8.0222688506836448E-2</v>
      </c>
      <c r="Q53" s="13">
        <f t="shared" si="13"/>
        <v>8.3431704345471883E-2</v>
      </c>
      <c r="R53" s="13">
        <f t="shared" si="14"/>
        <v>7.4329227020441369E-2</v>
      </c>
      <c r="S53" s="13">
        <f t="shared" si="15"/>
        <v>8.0544876133748514E-2</v>
      </c>
      <c r="T53" s="13">
        <f t="shared" si="16"/>
        <v>8.3468255042642492E-2</v>
      </c>
      <c r="U53" s="7">
        <f t="shared" si="17"/>
        <v>7.8944090970624103E-2</v>
      </c>
      <c r="V53">
        <v>1331.93</v>
      </c>
      <c r="W53">
        <v>1372.88</v>
      </c>
      <c r="X53">
        <v>1311.6</v>
      </c>
      <c r="Y53">
        <v>1356.5350000000001</v>
      </c>
      <c r="Z53">
        <v>1352.6659999999999</v>
      </c>
      <c r="AA53">
        <v>1365.3109999999999</v>
      </c>
      <c r="AB53">
        <v>1356.336</v>
      </c>
      <c r="AC53">
        <v>1352.6389999999999</v>
      </c>
      <c r="AD53">
        <v>1358.8969999999999</v>
      </c>
      <c r="AE53" s="14">
        <f>Tabla13[[#This Row],[Calculated HEFT_NC]]/Tabla13[[#This Row],[Real HEFT_NC]]</f>
        <v>0.90153648301069444</v>
      </c>
      <c r="AF53" s="14">
        <f>Tabla13[[#This Row],[Calculated HEFT_DNC]]/Tabla13[[#This Row],[Real HEFT_DNC]]</f>
        <v>0.99858890618408236</v>
      </c>
      <c r="AG53" s="14">
        <f>Tabla13[[#This Row],[Calculated GA_NC]]/Tabla13[[#This Row],[Real GA_NC]]</f>
        <v>0.92058255834356895</v>
      </c>
      <c r="AH53" s="15">
        <f>Tabla13[[#This Row],[Calculated GA_DNC]]/Tabla13[[#This Row],[Real GA_DNC]]</f>
        <v>0.99827504877181872</v>
      </c>
      <c r="AI53" s="15">
        <f>Tabla13[[#This Row],[Calculated HGA_(Ph2)]]/Tabla13[[#This Row],[Real HGA_(Ph2)]]</f>
        <v>0.99891296160361798</v>
      </c>
      <c r="AJ53" s="15">
        <f>Tabla13[[#This Row],[Calculated HGA_(Ph1)]]/Tabla13[[#This Row],[Real HGA_(Ph1)]]</f>
        <v>0.99833648487188364</v>
      </c>
      <c r="AK53" s="15">
        <f>Tabla13[[#This Row],[Calculated HGA^H]]/Tabla13[[#This Row],[Real GA^H]]</f>
        <v>0.99847836025097114</v>
      </c>
      <c r="AL53" s="15">
        <f>Tabla13[[#This Row],[Calculated HGA_(Ph2)^H]]/Tabla13[[#This Row],[Real HGA_(Ph2)^H]]</f>
        <v>0.99893285793200415</v>
      </c>
      <c r="AM53" s="15">
        <f>Tabla13[[#This Row],[Calculated HGA_(Ph1)^H]]/Tabla13[[#This Row],[Real HGA_(Ph1)^H]]</f>
        <v>0.99862504115323103</v>
      </c>
      <c r="AU53"/>
      <c r="AV53"/>
      <c r="AW53"/>
    </row>
    <row r="54" spans="1:49">
      <c r="A54" s="6" t="str">
        <f t="shared" si="9"/>
        <v>epigenomics</v>
      </c>
      <c r="B54" t="s">
        <v>11</v>
      </c>
      <c r="C54">
        <f>_xlfn.XLOOKUP(B54,Instances!$B$2:$B$29,Instances!$A$2:$A$29,,0,1)</f>
        <v>125</v>
      </c>
      <c r="D54">
        <v>4</v>
      </c>
      <c r="E54">
        <v>810.93299999999999</v>
      </c>
      <c r="F54">
        <v>731.56400000000008</v>
      </c>
      <c r="G54">
        <v>748.98470000000009</v>
      </c>
      <c r="H54">
        <v>708.5388999999999</v>
      </c>
      <c r="I54">
        <v>705.33749999999998</v>
      </c>
      <c r="J54">
        <v>755.50909999999999</v>
      </c>
      <c r="K54">
        <v>708.48029999999994</v>
      </c>
      <c r="L54">
        <v>705.37440000000004</v>
      </c>
      <c r="M54">
        <v>728.64300000000003</v>
      </c>
      <c r="N54" s="13">
        <f t="shared" si="10"/>
        <v>9.7873683769189215E-2</v>
      </c>
      <c r="O54" s="13">
        <f t="shared" si="11"/>
        <v>7.6391391150686813E-2</v>
      </c>
      <c r="P54" s="13">
        <f t="shared" si="12"/>
        <v>0.12626702822551319</v>
      </c>
      <c r="Q54" s="13">
        <f t="shared" si="13"/>
        <v>0.13021482662562753</v>
      </c>
      <c r="R54" s="13">
        <f t="shared" si="14"/>
        <v>6.8345843614700599E-2</v>
      </c>
      <c r="S54" s="13">
        <f t="shared" si="15"/>
        <v>0.12633929066889626</v>
      </c>
      <c r="T54" s="13">
        <f t="shared" si="16"/>
        <v>0.13016932348295107</v>
      </c>
      <c r="U54" s="7">
        <f t="shared" si="17"/>
        <v>0.101475707610863</v>
      </c>
      <c r="V54">
        <v>704.96500000000003</v>
      </c>
      <c r="W54">
        <v>730.35799999999995</v>
      </c>
      <c r="X54">
        <v>678.52369999999996</v>
      </c>
      <c r="Y54">
        <v>705.76140000000009</v>
      </c>
      <c r="Z54">
        <v>703.14380000000006</v>
      </c>
      <c r="AA54">
        <v>753.50530000000003</v>
      </c>
      <c r="AB54">
        <v>705.68079999999998</v>
      </c>
      <c r="AC54">
        <v>703.22979999999995</v>
      </c>
      <c r="AD54">
        <v>727.14850000000001</v>
      </c>
      <c r="AE54" s="14">
        <f>Tabla13[[#This Row],[Calculated HEFT_NC]]/Tabla13[[#This Row],[Real HEFT_NC]]</f>
        <v>0.86932582593136554</v>
      </c>
      <c r="AF54" s="14">
        <f>Tabla13[[#This Row],[Calculated HEFT_DNC]]/Tabla13[[#This Row],[Real HEFT_DNC]]</f>
        <v>0.99835147710931627</v>
      </c>
      <c r="AG54" s="14">
        <f>Tabla13[[#This Row],[Calculated GA_NC]]/Tabla13[[#This Row],[Real GA_NC]]</f>
        <v>0.90592464705887832</v>
      </c>
      <c r="AH54" s="15">
        <f>Tabla13[[#This Row],[Calculated GA_DNC]]/Tabla13[[#This Row],[Real GA_DNC]]</f>
        <v>0.99607996117079833</v>
      </c>
      <c r="AI54" s="15">
        <f>Tabla13[[#This Row],[Calculated HGA_(Ph2)]]/Tabla13[[#This Row],[Real HGA_(Ph2)]]</f>
        <v>0.99688985769223959</v>
      </c>
      <c r="AJ54" s="15">
        <f>Tabla13[[#This Row],[Calculated HGA_(Ph1)]]/Tabla13[[#This Row],[Real HGA_(Ph1)]]</f>
        <v>0.99734774869025411</v>
      </c>
      <c r="AK54" s="15">
        <f>Tabla13[[#This Row],[Calculated HGA^H]]/Tabla13[[#This Row],[Real GA^H]]</f>
        <v>0.99604858455485645</v>
      </c>
      <c r="AL54" s="15">
        <f>Tabla13[[#This Row],[Calculated HGA_(Ph2)^H]]/Tabla13[[#This Row],[Real HGA_(Ph2)^H]]</f>
        <v>0.99695962881556222</v>
      </c>
      <c r="AM54" s="15">
        <f>Tabla13[[#This Row],[Calculated HGA_(Ph1)^H]]/Tabla13[[#This Row],[Real HGA_(Ph1)^H]]</f>
        <v>0.99794892697795767</v>
      </c>
      <c r="AU54"/>
      <c r="AV54"/>
      <c r="AW54"/>
    </row>
    <row r="55" spans="1:49">
      <c r="A55" s="6" t="str">
        <f t="shared" si="9"/>
        <v>epigenomics</v>
      </c>
      <c r="B55" t="s">
        <v>11</v>
      </c>
      <c r="C55">
        <f>_xlfn.XLOOKUP(B55,Instances!$B$2:$B$29,Instances!$A$2:$A$29,,0,1)</f>
        <v>125</v>
      </c>
      <c r="D55">
        <v>8</v>
      </c>
      <c r="E55">
        <v>480.77699999999987</v>
      </c>
      <c r="F55">
        <v>406.99</v>
      </c>
      <c r="G55">
        <v>423.47609999999997</v>
      </c>
      <c r="H55">
        <v>389.32760000000002</v>
      </c>
      <c r="I55">
        <v>380.68029999999999</v>
      </c>
      <c r="J55">
        <v>481.82830000000001</v>
      </c>
      <c r="K55">
        <v>386.29259999999999</v>
      </c>
      <c r="L55">
        <v>380.95600000000002</v>
      </c>
      <c r="M55">
        <v>406.99</v>
      </c>
      <c r="N55" s="13">
        <f t="shared" si="10"/>
        <v>0.15347447985240534</v>
      </c>
      <c r="O55" s="13">
        <f t="shared" si="11"/>
        <v>0.11918394598743266</v>
      </c>
      <c r="P55" s="13">
        <f t="shared" si="12"/>
        <v>0.19021167817928036</v>
      </c>
      <c r="Q55" s="13">
        <f t="shared" si="13"/>
        <v>0.20819777152401198</v>
      </c>
      <c r="R55" s="13">
        <f t="shared" si="14"/>
        <v>-2.1866686634346901E-3</v>
      </c>
      <c r="S55" s="13">
        <f t="shared" si="15"/>
        <v>0.19652437616608096</v>
      </c>
      <c r="T55" s="13">
        <f t="shared" si="16"/>
        <v>0.20762432479091114</v>
      </c>
      <c r="U55" s="7">
        <f t="shared" si="17"/>
        <v>0.15347447985240534</v>
      </c>
      <c r="V55">
        <v>391.411</v>
      </c>
      <c r="W55">
        <v>405.16699999999997</v>
      </c>
      <c r="X55">
        <v>366.28120000000001</v>
      </c>
      <c r="Y55">
        <v>387.01299999999998</v>
      </c>
      <c r="Z55">
        <v>378.11090000000002</v>
      </c>
      <c r="AA55">
        <v>479.02249999999998</v>
      </c>
      <c r="AB55">
        <v>383.90069999999997</v>
      </c>
      <c r="AC55">
        <v>378.16629999999998</v>
      </c>
      <c r="AD55">
        <v>405.16699999999997</v>
      </c>
      <c r="AE55" s="14">
        <f>Tabla13[[#This Row],[Calculated HEFT_NC]]/Tabla13[[#This Row],[Real HEFT_NC]]</f>
        <v>0.81412172379294367</v>
      </c>
      <c r="AF55" s="14">
        <f>Tabla13[[#This Row],[Calculated HEFT_DNC]]/Tabla13[[#This Row],[Real HEFT_DNC]]</f>
        <v>0.99552077446620302</v>
      </c>
      <c r="AG55" s="14">
        <f>Tabla13[[#This Row],[Calculated GA_NC]]/Tabla13[[#This Row],[Real GA_NC]]</f>
        <v>0.86493948536883203</v>
      </c>
      <c r="AH55" s="15">
        <f>Tabla13[[#This Row],[Calculated GA_DNC]]/Tabla13[[#This Row],[Real GA_DNC]]</f>
        <v>0.99405487820539817</v>
      </c>
      <c r="AI55" s="15">
        <f>Tabla13[[#This Row],[Calculated HGA_(Ph2)]]/Tabla13[[#This Row],[Real HGA_(Ph2)]]</f>
        <v>0.99325050442589236</v>
      </c>
      <c r="AJ55" s="15">
        <f>Tabla13[[#This Row],[Calculated HGA_(Ph1)]]/Tabla13[[#This Row],[Real HGA_(Ph1)]]</f>
        <v>0.99417676379739417</v>
      </c>
      <c r="AK55" s="15">
        <f>Tabla13[[#This Row],[Calculated HGA^H]]/Tabla13[[#This Row],[Real GA^H]]</f>
        <v>0.99380806155748258</v>
      </c>
      <c r="AL55" s="15">
        <f>Tabla13[[#This Row],[Calculated HGA_(Ph2)^H]]/Tabla13[[#This Row],[Real HGA_(Ph2)^H]]</f>
        <v>0.9926771070674828</v>
      </c>
      <c r="AM55" s="15">
        <f>Tabla13[[#This Row],[Calculated HGA_(Ph1)^H]]/Tabla13[[#This Row],[Real HGA_(Ph1)^H]]</f>
        <v>0.99552077446620302</v>
      </c>
      <c r="AU55"/>
      <c r="AV55"/>
      <c r="AW55"/>
    </row>
    <row r="56" spans="1:49">
      <c r="A56" s="6" t="str">
        <f t="shared" si="9"/>
        <v>epigenomics</v>
      </c>
      <c r="B56" t="s">
        <v>11</v>
      </c>
      <c r="C56">
        <f>_xlfn.XLOOKUP(B56,Instances!$B$2:$B$29,Instances!$A$2:$A$29,,0,1)</f>
        <v>125</v>
      </c>
      <c r="D56">
        <v>16</v>
      </c>
      <c r="E56">
        <v>293.99900000000002</v>
      </c>
      <c r="F56">
        <v>229.381</v>
      </c>
      <c r="G56">
        <v>270.35140000000001</v>
      </c>
      <c r="H56">
        <v>230.95830000000001</v>
      </c>
      <c r="I56">
        <v>220.6352</v>
      </c>
      <c r="J56">
        <v>318.18729999999999</v>
      </c>
      <c r="K56">
        <v>225.89760000000001</v>
      </c>
      <c r="L56">
        <v>220.06739999999999</v>
      </c>
      <c r="M56">
        <v>229.381</v>
      </c>
      <c r="N56" s="13">
        <f t="shared" si="10"/>
        <v>0.21978986323082739</v>
      </c>
      <c r="O56" s="13">
        <f t="shared" si="11"/>
        <v>8.0434287191453069E-2</v>
      </c>
      <c r="P56" s="13">
        <f t="shared" si="12"/>
        <v>0.21442487899618709</v>
      </c>
      <c r="Q56" s="13">
        <f t="shared" si="13"/>
        <v>0.24953758346116831</v>
      </c>
      <c r="R56" s="13">
        <f t="shared" si="14"/>
        <v>-8.2273409093228098E-2</v>
      </c>
      <c r="S56" s="13">
        <f t="shared" si="15"/>
        <v>0.23163820285103012</v>
      </c>
      <c r="T56" s="13">
        <f t="shared" si="16"/>
        <v>0.25146888254721961</v>
      </c>
      <c r="U56" s="7">
        <f t="shared" si="17"/>
        <v>0.21978986323082739</v>
      </c>
      <c r="V56">
        <v>211.2</v>
      </c>
      <c r="W56">
        <v>225.54400000000001</v>
      </c>
      <c r="X56">
        <v>219.21940000000001</v>
      </c>
      <c r="Y56">
        <v>227.471</v>
      </c>
      <c r="Z56">
        <v>217.1199</v>
      </c>
      <c r="AA56">
        <v>314.83519999999999</v>
      </c>
      <c r="AB56">
        <v>222.29580000000001</v>
      </c>
      <c r="AC56">
        <v>216.48400000000001</v>
      </c>
      <c r="AD56">
        <v>225.54400000000001</v>
      </c>
      <c r="AE56" s="14">
        <f>Tabla13[[#This Row],[Calculated HEFT_NC]]/Tabla13[[#This Row],[Real HEFT_NC]]</f>
        <v>0.71836979037343651</v>
      </c>
      <c r="AF56" s="14">
        <f>Tabla13[[#This Row],[Calculated HEFT_DNC]]/Tabla13[[#This Row],[Real HEFT_DNC]]</f>
        <v>0.98327237216683161</v>
      </c>
      <c r="AG56" s="14">
        <f>Tabla13[[#This Row],[Calculated GA_NC]]/Tabla13[[#This Row],[Real GA_NC]]</f>
        <v>0.81086837353163321</v>
      </c>
      <c r="AH56" s="15">
        <f>Tabla13[[#This Row],[Calculated GA_DNC]]/Tabla13[[#This Row],[Real GA_DNC]]</f>
        <v>0.98490073749243912</v>
      </c>
      <c r="AI56" s="15">
        <f>Tabla13[[#This Row],[Calculated HGA_(Ph2)]]/Tabla13[[#This Row],[Real HGA_(Ph2)]]</f>
        <v>0.98406736549743656</v>
      </c>
      <c r="AJ56" s="15">
        <f>Tabla13[[#This Row],[Calculated HGA_(Ph1)]]/Tabla13[[#This Row],[Real HGA_(Ph1)]]</f>
        <v>0.98946501007425502</v>
      </c>
      <c r="AK56" s="15">
        <f>Tabla13[[#This Row],[Calculated HGA^H]]/Tabla13[[#This Row],[Real GA^H]]</f>
        <v>0.98405560749649401</v>
      </c>
      <c r="AL56" s="15">
        <f>Tabla13[[#This Row],[Calculated HGA_(Ph2)^H]]/Tabla13[[#This Row],[Real HGA_(Ph2)^H]]</f>
        <v>0.98371680676011086</v>
      </c>
      <c r="AM56" s="15">
        <f>Tabla13[[#This Row],[Calculated HGA_(Ph1)^H]]/Tabla13[[#This Row],[Real HGA_(Ph1)^H]]</f>
        <v>0.98327237216683161</v>
      </c>
      <c r="AU56"/>
      <c r="AV56"/>
      <c r="AW56"/>
    </row>
    <row r="57" spans="1:49">
      <c r="A57" s="6" t="str">
        <f t="shared" si="9"/>
        <v>epigenomics</v>
      </c>
      <c r="B57" t="s">
        <v>13</v>
      </c>
      <c r="C57">
        <f>_xlfn.XLOOKUP(B57,Instances!$B$2:$B$29,Instances!$A$2:$A$29,,0,1)</f>
        <v>863</v>
      </c>
      <c r="D57">
        <v>1</v>
      </c>
      <c r="E57">
        <v>13236.3</v>
      </c>
      <c r="F57">
        <v>13236.3</v>
      </c>
      <c r="G57">
        <v>13236.3</v>
      </c>
      <c r="H57">
        <v>13236.3</v>
      </c>
      <c r="I57">
        <v>13236.3</v>
      </c>
      <c r="J57">
        <v>13236.3</v>
      </c>
      <c r="K57">
        <v>13236.3</v>
      </c>
      <c r="L57">
        <v>13236.3</v>
      </c>
      <c r="M57">
        <v>13236.3</v>
      </c>
      <c r="N57" s="13">
        <f t="shared" si="10"/>
        <v>0</v>
      </c>
      <c r="O57" s="13">
        <f t="shared" si="11"/>
        <v>0</v>
      </c>
      <c r="P57" s="13">
        <f t="shared" si="12"/>
        <v>0</v>
      </c>
      <c r="Q57" s="13">
        <f t="shared" si="13"/>
        <v>0</v>
      </c>
      <c r="R57" s="13">
        <f t="shared" si="14"/>
        <v>0</v>
      </c>
      <c r="S57" s="13">
        <f t="shared" si="15"/>
        <v>0</v>
      </c>
      <c r="T57" s="13">
        <f t="shared" si="16"/>
        <v>0</v>
      </c>
      <c r="U57" s="7">
        <f t="shared" si="17"/>
        <v>0</v>
      </c>
      <c r="V57">
        <v>11626.7</v>
      </c>
      <c r="W57">
        <v>13235</v>
      </c>
      <c r="X57">
        <v>11626.7</v>
      </c>
      <c r="Y57">
        <v>13235</v>
      </c>
      <c r="Z57">
        <v>13235</v>
      </c>
      <c r="AA57">
        <v>13235</v>
      </c>
      <c r="AB57">
        <v>13235</v>
      </c>
      <c r="AC57">
        <v>13235</v>
      </c>
      <c r="AD57">
        <v>13235</v>
      </c>
      <c r="AE57" s="14">
        <f>Tabla13[[#This Row],[Calculated HEFT_NC]]/Tabla13[[#This Row],[Real HEFT_NC]]</f>
        <v>0.87839501975627643</v>
      </c>
      <c r="AF57" s="14">
        <f>Tabla13[[#This Row],[Calculated HEFT_DNC]]/Tabla13[[#This Row],[Real HEFT_DNC]]</f>
        <v>0.99990178524209938</v>
      </c>
      <c r="AG57" s="14">
        <f>Tabla13[[#This Row],[Calculated GA_NC]]/Tabla13[[#This Row],[Real GA_NC]]</f>
        <v>0.87839501975627643</v>
      </c>
      <c r="AH57" s="15">
        <f>Tabla13[[#This Row],[Calculated GA_DNC]]/Tabla13[[#This Row],[Real GA_DNC]]</f>
        <v>0.99990178524209938</v>
      </c>
      <c r="AI57" s="15">
        <f>Tabla13[[#This Row],[Calculated HGA_(Ph2)]]/Tabla13[[#This Row],[Real HGA_(Ph2)]]</f>
        <v>0.99990178524209938</v>
      </c>
      <c r="AJ57" s="15">
        <f>Tabla13[[#This Row],[Calculated HGA_(Ph1)]]/Tabla13[[#This Row],[Real HGA_(Ph1)]]</f>
        <v>0.99990178524209938</v>
      </c>
      <c r="AK57" s="15">
        <f>Tabla13[[#This Row],[Calculated HGA^H]]/Tabla13[[#This Row],[Real GA^H]]</f>
        <v>0.99990178524209938</v>
      </c>
      <c r="AL57" s="15">
        <f>Tabla13[[#This Row],[Calculated HGA_(Ph2)^H]]/Tabla13[[#This Row],[Real HGA_(Ph2)^H]]</f>
        <v>0.99990178524209938</v>
      </c>
      <c r="AM57" s="15">
        <f>Tabla13[[#This Row],[Calculated HGA_(Ph1)^H]]/Tabla13[[#This Row],[Real HGA_(Ph1)^H]]</f>
        <v>0.99990178524209938</v>
      </c>
      <c r="AU57"/>
      <c r="AV57"/>
      <c r="AW57"/>
    </row>
    <row r="58" spans="1:49">
      <c r="A58" s="6" t="str">
        <f t="shared" si="9"/>
        <v>epigenomics</v>
      </c>
      <c r="B58" t="s">
        <v>13</v>
      </c>
      <c r="C58">
        <f>_xlfn.XLOOKUP(B58,Instances!$B$2:$B$29,Instances!$A$2:$A$29,,0,1)</f>
        <v>863</v>
      </c>
      <c r="D58">
        <v>2</v>
      </c>
      <c r="E58">
        <v>6645.7800000000007</v>
      </c>
      <c r="F58">
        <v>6281.68</v>
      </c>
      <c r="G58">
        <v>6589.8619999999992</v>
      </c>
      <c r="H58">
        <v>6248.5039999999999</v>
      </c>
      <c r="I58">
        <v>6192.8689999999997</v>
      </c>
      <c r="J58">
        <v>6597.509</v>
      </c>
      <c r="K58">
        <v>6270.7420000000002</v>
      </c>
      <c r="L58">
        <v>6185.8770000000004</v>
      </c>
      <c r="M58">
        <v>6281.68</v>
      </c>
      <c r="N58" s="13">
        <f t="shared" si="10"/>
        <v>5.4786646563684073E-2</v>
      </c>
      <c r="O58" s="13">
        <f t="shared" si="11"/>
        <v>8.4140612539087174E-3</v>
      </c>
      <c r="P58" s="13">
        <f t="shared" si="12"/>
        <v>5.977868662519685E-2</v>
      </c>
      <c r="Q58" s="13">
        <f t="shared" si="13"/>
        <v>6.8150164465269836E-2</v>
      </c>
      <c r="R58" s="13">
        <f t="shared" si="14"/>
        <v>7.2634062517869438E-3</v>
      </c>
      <c r="S58" s="13">
        <f t="shared" si="15"/>
        <v>5.6432503031999315E-2</v>
      </c>
      <c r="T58" s="13">
        <f t="shared" si="16"/>
        <v>6.9202260682718994E-2</v>
      </c>
      <c r="U58" s="7">
        <f t="shared" si="17"/>
        <v>5.4786646563684073E-2</v>
      </c>
      <c r="V58">
        <v>5871.0200000000013</v>
      </c>
      <c r="W58">
        <v>6265.82</v>
      </c>
      <c r="X58">
        <v>5860.2370000000001</v>
      </c>
      <c r="Y58">
        <v>6225.2469999999994</v>
      </c>
      <c r="Z58">
        <v>6178.3869999999997</v>
      </c>
      <c r="AA58">
        <v>6575.3649999999998</v>
      </c>
      <c r="AB58">
        <v>6250.6809999999996</v>
      </c>
      <c r="AC58">
        <v>6172.2430000000004</v>
      </c>
      <c r="AD58">
        <v>6265.82</v>
      </c>
      <c r="AE58" s="14">
        <f>Tabla13[[#This Row],[Calculated HEFT_NC]]/Tabla13[[#This Row],[Real HEFT_NC]]</f>
        <v>0.8834207572324092</v>
      </c>
      <c r="AF58" s="14">
        <f>Tabla13[[#This Row],[Calculated HEFT_DNC]]/Tabla13[[#This Row],[Real HEFT_DNC]]</f>
        <v>0.9974751977178079</v>
      </c>
      <c r="AG58" s="14">
        <f>Tabla13[[#This Row],[Calculated GA_NC]]/Tabla13[[#This Row],[Real GA_NC]]</f>
        <v>0.88928068599919097</v>
      </c>
      <c r="AH58" s="15">
        <f>Tabla13[[#This Row],[Calculated GA_DNC]]/Tabla13[[#This Row],[Real GA_DNC]]</f>
        <v>0.99627798909947074</v>
      </c>
      <c r="AI58" s="15">
        <f>Tabla13[[#This Row],[Calculated HGA_(Ph2)]]/Tabla13[[#This Row],[Real HGA_(Ph2)]]</f>
        <v>0.99766150390069608</v>
      </c>
      <c r="AJ58" s="15">
        <f>Tabla13[[#This Row],[Calculated HGA_(Ph1)]]/Tabla13[[#This Row],[Real HGA_(Ph1)]]</f>
        <v>0.99664358169121103</v>
      </c>
      <c r="AK58" s="15">
        <f>Tabla13[[#This Row],[Calculated HGA^H]]/Tabla13[[#This Row],[Real GA^H]]</f>
        <v>0.99680085705965882</v>
      </c>
      <c r="AL58" s="15">
        <f>Tabla13[[#This Row],[Calculated HGA_(Ph2)^H]]/Tabla13[[#This Row],[Real HGA_(Ph2)^H]]</f>
        <v>0.99779594712277664</v>
      </c>
      <c r="AM58" s="15">
        <f>Tabla13[[#This Row],[Calculated HGA_(Ph1)^H]]/Tabla13[[#This Row],[Real HGA_(Ph1)^H]]</f>
        <v>0.9974751977178079</v>
      </c>
      <c r="AU58"/>
      <c r="AV58"/>
      <c r="AW58"/>
    </row>
    <row r="59" spans="1:49">
      <c r="A59" s="6" t="str">
        <f t="shared" si="9"/>
        <v>epigenomics</v>
      </c>
      <c r="B59" t="s">
        <v>13</v>
      </c>
      <c r="C59">
        <f>_xlfn.XLOOKUP(B59,Instances!$B$2:$B$29,Instances!$A$2:$A$29,,0,1)</f>
        <v>863</v>
      </c>
      <c r="D59">
        <v>4</v>
      </c>
      <c r="E59">
        <v>3397.08</v>
      </c>
      <c r="F59">
        <v>3211.400000000001</v>
      </c>
      <c r="G59">
        <v>3393.4810000000002</v>
      </c>
      <c r="H59">
        <v>3204.2860000000001</v>
      </c>
      <c r="I59">
        <v>3177.12</v>
      </c>
      <c r="J59">
        <v>3922.6969999999992</v>
      </c>
      <c r="K59">
        <v>3204.8820000000001</v>
      </c>
      <c r="L59">
        <v>3174.3679999999999</v>
      </c>
      <c r="M59">
        <v>3211.400000000001</v>
      </c>
      <c r="N59" s="13">
        <f t="shared" si="10"/>
        <v>5.4658706889445914E-2</v>
      </c>
      <c r="O59" s="13">
        <f t="shared" si="11"/>
        <v>1.0594392831489708E-3</v>
      </c>
      <c r="P59" s="13">
        <f t="shared" si="12"/>
        <v>5.6752858337160109E-2</v>
      </c>
      <c r="Q59" s="13">
        <f t="shared" si="13"/>
        <v>6.4749726235472829E-2</v>
      </c>
      <c r="R59" s="13">
        <f t="shared" si="14"/>
        <v>-0.15472611772463388</v>
      </c>
      <c r="S59" s="13">
        <f t="shared" si="15"/>
        <v>5.6577413543396057E-2</v>
      </c>
      <c r="T59" s="13">
        <f t="shared" si="16"/>
        <v>6.555983373956456E-2</v>
      </c>
      <c r="U59" s="7">
        <f t="shared" si="17"/>
        <v>5.4658706889445914E-2</v>
      </c>
      <c r="V59">
        <v>2985.79</v>
      </c>
      <c r="W59">
        <v>3194.650000000001</v>
      </c>
      <c r="X59">
        <v>2981.078</v>
      </c>
      <c r="Y59">
        <v>3186.511</v>
      </c>
      <c r="Z59">
        <v>3162.3339999999998</v>
      </c>
      <c r="AA59">
        <v>3906.3179999999988</v>
      </c>
      <c r="AB59">
        <v>3187.4029999999998</v>
      </c>
      <c r="AC59">
        <v>3159.2449999999999</v>
      </c>
      <c r="AD59">
        <v>3194.650000000001</v>
      </c>
      <c r="AE59" s="14">
        <f>Tabla13[[#This Row],[Calculated HEFT_NC]]/Tabla13[[#This Row],[Real HEFT_NC]]</f>
        <v>0.87892837377983446</v>
      </c>
      <c r="AF59" s="14">
        <f>Tabla13[[#This Row],[Calculated HEFT_DNC]]/Tabla13[[#This Row],[Real HEFT_DNC]]</f>
        <v>0.99478420626518027</v>
      </c>
      <c r="AG59" s="14">
        <f>Tabla13[[#This Row],[Calculated GA_NC]]/Tabla13[[#This Row],[Real GA_NC]]</f>
        <v>0.87847198790858116</v>
      </c>
      <c r="AH59" s="15">
        <f>Tabla13[[#This Row],[Calculated GA_DNC]]/Tabla13[[#This Row],[Real GA_DNC]]</f>
        <v>0.99445274235820391</v>
      </c>
      <c r="AI59" s="15">
        <f>Tabla13[[#This Row],[Calculated HGA_(Ph2)]]/Tabla13[[#This Row],[Real HGA_(Ph2)]]</f>
        <v>0.99534609961222742</v>
      </c>
      <c r="AJ59" s="15">
        <f>Tabla13[[#This Row],[Calculated HGA_(Ph1)]]/Tabla13[[#This Row],[Real HGA_(Ph1)]]</f>
        <v>0.995824556421258</v>
      </c>
      <c r="AK59" s="15">
        <f>Tabla13[[#This Row],[Calculated HGA^H]]/Tabla13[[#This Row],[Real GA^H]]</f>
        <v>0.99454613305575668</v>
      </c>
      <c r="AL59" s="15">
        <f>Tabla13[[#This Row],[Calculated HGA_(Ph2)^H]]/Tabla13[[#This Row],[Real HGA_(Ph2)^H]]</f>
        <v>0.99523590207562573</v>
      </c>
      <c r="AM59" s="15">
        <f>Tabla13[[#This Row],[Calculated HGA_(Ph1)^H]]/Tabla13[[#This Row],[Real HGA_(Ph1)^H]]</f>
        <v>0.99478420626518027</v>
      </c>
      <c r="AU59"/>
      <c r="AV59"/>
      <c r="AW59"/>
    </row>
    <row r="60" spans="1:49">
      <c r="A60" s="6" t="str">
        <f t="shared" si="9"/>
        <v>epigenomics</v>
      </c>
      <c r="B60" t="s">
        <v>13</v>
      </c>
      <c r="C60">
        <f>_xlfn.XLOOKUP(B60,Instances!$B$2:$B$29,Instances!$A$2:$A$29,,0,1)</f>
        <v>863</v>
      </c>
      <c r="D60">
        <v>8</v>
      </c>
      <c r="E60">
        <v>1840.82</v>
      </c>
      <c r="F60">
        <v>1696.9</v>
      </c>
      <c r="G60">
        <v>1812.633</v>
      </c>
      <c r="H60">
        <v>1688.1679999999999</v>
      </c>
      <c r="I60">
        <v>1655.97</v>
      </c>
      <c r="J60">
        <v>2470.6370000000002</v>
      </c>
      <c r="K60">
        <v>1682.0820000000001</v>
      </c>
      <c r="L60">
        <v>1657.9190000000001</v>
      </c>
      <c r="M60">
        <v>1696.9</v>
      </c>
      <c r="N60" s="13">
        <f t="shared" si="10"/>
        <v>7.8182549081387567E-2</v>
      </c>
      <c r="O60" s="13">
        <f t="shared" si="11"/>
        <v>1.5312197824882334E-2</v>
      </c>
      <c r="P60" s="13">
        <f t="shared" si="12"/>
        <v>8.2926087287187256E-2</v>
      </c>
      <c r="Q60" s="13">
        <f t="shared" si="13"/>
        <v>0.10041720537586506</v>
      </c>
      <c r="R60" s="13">
        <f t="shared" si="14"/>
        <v>-0.34213937267087507</v>
      </c>
      <c r="S60" s="13">
        <f t="shared" si="15"/>
        <v>8.6232222596451497E-2</v>
      </c>
      <c r="T60" s="13">
        <f t="shared" si="16"/>
        <v>9.9358438087374018E-2</v>
      </c>
      <c r="U60" s="7">
        <f t="shared" si="17"/>
        <v>7.8182549081387567E-2</v>
      </c>
      <c r="V60">
        <v>1557.36</v>
      </c>
      <c r="W60">
        <v>1683.99</v>
      </c>
      <c r="X60">
        <v>1569.7</v>
      </c>
      <c r="Y60">
        <v>1676.875</v>
      </c>
      <c r="Z60">
        <v>1646.0129999999999</v>
      </c>
      <c r="AA60">
        <v>2459.0450000000001</v>
      </c>
      <c r="AB60">
        <v>1669.5350000000001</v>
      </c>
      <c r="AC60">
        <v>1645.9369999999999</v>
      </c>
      <c r="AD60">
        <v>1683.99</v>
      </c>
      <c r="AE60" s="14">
        <f>Tabla13[[#This Row],[Calculated HEFT_NC]]/Tabla13[[#This Row],[Real HEFT_NC]]</f>
        <v>0.84601427624645531</v>
      </c>
      <c r="AF60" s="14">
        <f>Tabla13[[#This Row],[Calculated HEFT_DNC]]/Tabla13[[#This Row],[Real HEFT_DNC]]</f>
        <v>0.99239200895751067</v>
      </c>
      <c r="AG60" s="14">
        <f>Tabla13[[#This Row],[Calculated GA_NC]]/Tabla13[[#This Row],[Real GA_NC]]</f>
        <v>0.86597783445407872</v>
      </c>
      <c r="AH60" s="15">
        <f>Tabla13[[#This Row],[Calculated GA_DNC]]/Tabla13[[#This Row],[Real GA_DNC]]</f>
        <v>0.99331049990285336</v>
      </c>
      <c r="AI60" s="15">
        <f>Tabla13[[#This Row],[Calculated HGA_(Ph2)]]/Tabla13[[#This Row],[Real HGA_(Ph2)]]</f>
        <v>0.99398720991322298</v>
      </c>
      <c r="AJ60" s="15">
        <f>Tabla13[[#This Row],[Calculated HGA_(Ph1)]]/Tabla13[[#This Row],[Real HGA_(Ph1)]]</f>
        <v>0.99530809260931485</v>
      </c>
      <c r="AK60" s="15">
        <f>Tabla13[[#This Row],[Calculated HGA^H]]/Tabla13[[#This Row],[Real GA^H]]</f>
        <v>0.99254079170932208</v>
      </c>
      <c r="AL60" s="15">
        <f>Tabla13[[#This Row],[Calculated HGA_(Ph2)^H]]/Tabla13[[#This Row],[Real HGA_(Ph2)^H]]</f>
        <v>0.99277286767326978</v>
      </c>
      <c r="AM60" s="15">
        <f>Tabla13[[#This Row],[Calculated HGA_(Ph1)^H]]/Tabla13[[#This Row],[Real HGA_(Ph1)^H]]</f>
        <v>0.99239200895751067</v>
      </c>
      <c r="AU60"/>
      <c r="AV60"/>
      <c r="AW60"/>
    </row>
    <row r="61" spans="1:49">
      <c r="A61" s="6" t="str">
        <f t="shared" si="9"/>
        <v>epigenomics</v>
      </c>
      <c r="B61" t="s">
        <v>13</v>
      </c>
      <c r="C61">
        <f>_xlfn.XLOOKUP(B61,Instances!$B$2:$B$29,Instances!$A$2:$A$29,,0,1)</f>
        <v>863</v>
      </c>
      <c r="D61">
        <v>16</v>
      </c>
      <c r="E61">
        <v>1039.6400000000001</v>
      </c>
      <c r="F61">
        <v>928.79200000000003</v>
      </c>
      <c r="G61">
        <v>1056.568</v>
      </c>
      <c r="H61">
        <v>952.49679999999989</v>
      </c>
      <c r="I61">
        <v>906.81510000000003</v>
      </c>
      <c r="J61">
        <v>1630.671</v>
      </c>
      <c r="K61">
        <v>922.36359999999991</v>
      </c>
      <c r="L61">
        <v>901.80330000000015</v>
      </c>
      <c r="M61">
        <v>928.79200000000003</v>
      </c>
      <c r="N61" s="13">
        <f t="shared" si="10"/>
        <v>0.1066215228348275</v>
      </c>
      <c r="O61" s="13">
        <f t="shared" si="11"/>
        <v>-1.6282559347466318E-2</v>
      </c>
      <c r="P61" s="13">
        <f t="shared" si="12"/>
        <v>8.3820553268439263E-2</v>
      </c>
      <c r="Q61" s="13">
        <f t="shared" si="13"/>
        <v>0.12776047477973151</v>
      </c>
      <c r="R61" s="13">
        <f t="shared" si="14"/>
        <v>-0.56849582547805</v>
      </c>
      <c r="S61" s="13">
        <f t="shared" si="15"/>
        <v>0.11280481705205665</v>
      </c>
      <c r="T61" s="13">
        <f t="shared" si="16"/>
        <v>0.13258118194759719</v>
      </c>
      <c r="U61" s="7">
        <f t="shared" si="17"/>
        <v>0.1066215228348275</v>
      </c>
      <c r="V61">
        <v>857.93600000000004</v>
      </c>
      <c r="W61">
        <v>919.68600000000004</v>
      </c>
      <c r="X61">
        <v>885.39779999999996</v>
      </c>
      <c r="Y61">
        <v>944.55119999999988</v>
      </c>
      <c r="Z61">
        <v>899.57989999999995</v>
      </c>
      <c r="AA61">
        <v>1622.28</v>
      </c>
      <c r="AB61">
        <v>913.77049999999997</v>
      </c>
      <c r="AC61">
        <v>894.21289999999988</v>
      </c>
      <c r="AD61">
        <v>919.68600000000004</v>
      </c>
      <c r="AE61" s="14">
        <f>Tabla13[[#This Row],[Calculated HEFT_NC]]/Tabla13[[#This Row],[Real HEFT_NC]]</f>
        <v>0.82522411604016765</v>
      </c>
      <c r="AF61" s="14">
        <f>Tabla13[[#This Row],[Calculated HEFT_DNC]]/Tabla13[[#This Row],[Real HEFT_DNC]]</f>
        <v>0.99019586732013198</v>
      </c>
      <c r="AG61" s="14">
        <f>Tabla13[[#This Row],[Calculated GA_NC]]/Tabla13[[#This Row],[Real GA_NC]]</f>
        <v>0.83799414708755138</v>
      </c>
      <c r="AH61" s="15">
        <f>Tabla13[[#This Row],[Calculated GA_DNC]]/Tabla13[[#This Row],[Real GA_DNC]]</f>
        <v>0.99165813470449449</v>
      </c>
      <c r="AI61" s="15">
        <f>Tabla13[[#This Row],[Calculated HGA_(Ph2)]]/Tabla13[[#This Row],[Real HGA_(Ph2)]]</f>
        <v>0.9920213062177724</v>
      </c>
      <c r="AJ61" s="15">
        <f>Tabla13[[#This Row],[Calculated HGA_(Ph1)]]/Tabla13[[#This Row],[Real HGA_(Ph1)]]</f>
        <v>0.99485426551401224</v>
      </c>
      <c r="AK61" s="15">
        <f>Tabla13[[#This Row],[Calculated HGA^H]]/Tabla13[[#This Row],[Real GA^H]]</f>
        <v>0.99068360893686613</v>
      </c>
      <c r="AL61" s="15">
        <f>Tabla13[[#This Row],[Calculated HGA_(Ph2)^H]]/Tabla13[[#This Row],[Real HGA_(Ph2)^H]]</f>
        <v>0.99158308691041575</v>
      </c>
      <c r="AM61" s="15">
        <f>Tabla13[[#This Row],[Calculated HGA_(Ph1)^H]]/Tabla13[[#This Row],[Real HGA_(Ph1)^H]]</f>
        <v>0.99019586732013198</v>
      </c>
      <c r="AU61"/>
      <c r="AV61"/>
      <c r="AW61"/>
    </row>
    <row r="62" spans="1:49">
      <c r="A62" s="6" t="str">
        <f t="shared" si="9"/>
        <v>montage</v>
      </c>
      <c r="B62" t="s">
        <v>14</v>
      </c>
      <c r="C62">
        <f>_xlfn.XLOOKUP(B62,Instances!$B$2:$B$29,Instances!$A$2:$A$29,,0,1)</f>
        <v>58</v>
      </c>
      <c r="D62">
        <v>1</v>
      </c>
      <c r="E62">
        <v>260.20200000000011</v>
      </c>
      <c r="F62">
        <v>260.20200000000011</v>
      </c>
      <c r="G62">
        <v>260.20200000000011</v>
      </c>
      <c r="H62">
        <v>260.20200000000011</v>
      </c>
      <c r="I62">
        <v>260.20200000000011</v>
      </c>
      <c r="J62">
        <v>260.20200000000011</v>
      </c>
      <c r="K62">
        <v>260.20200000000011</v>
      </c>
      <c r="L62">
        <v>260.20200000000011</v>
      </c>
      <c r="M62">
        <v>260.20200000000011</v>
      </c>
      <c r="N62" s="13">
        <f t="shared" si="10"/>
        <v>0</v>
      </c>
      <c r="O62" s="13">
        <f t="shared" si="11"/>
        <v>0</v>
      </c>
      <c r="P62" s="13">
        <f t="shared" si="12"/>
        <v>0</v>
      </c>
      <c r="Q62" s="13">
        <f t="shared" si="13"/>
        <v>0</v>
      </c>
      <c r="R62" s="13">
        <f t="shared" si="14"/>
        <v>0</v>
      </c>
      <c r="S62" s="13">
        <f t="shared" si="15"/>
        <v>0</v>
      </c>
      <c r="T62" s="13">
        <f t="shared" si="16"/>
        <v>0</v>
      </c>
      <c r="U62" s="7">
        <f t="shared" si="17"/>
        <v>0</v>
      </c>
      <c r="V62">
        <v>221.726</v>
      </c>
      <c r="W62">
        <v>260.12200000000001</v>
      </c>
      <c r="X62">
        <v>221.726</v>
      </c>
      <c r="Y62">
        <v>260.12200000000001</v>
      </c>
      <c r="Z62">
        <v>260.12200000000001</v>
      </c>
      <c r="AA62">
        <v>260.12200000000001</v>
      </c>
      <c r="AB62">
        <v>260.12200000000001</v>
      </c>
      <c r="AC62">
        <v>260.12200000000001</v>
      </c>
      <c r="AD62">
        <v>260.12200000000001</v>
      </c>
      <c r="AE62" s="14">
        <f>Tabla13[[#This Row],[Calculated HEFT_NC]]/Tabla13[[#This Row],[Real HEFT_NC]]</f>
        <v>0.852130268022536</v>
      </c>
      <c r="AF62" s="14">
        <f>Tabla13[[#This Row],[Calculated HEFT_DNC]]/Tabla13[[#This Row],[Real HEFT_DNC]]</f>
        <v>0.99969254655997997</v>
      </c>
      <c r="AG62" s="14">
        <f>Tabla13[[#This Row],[Calculated GA_NC]]/Tabla13[[#This Row],[Real GA_NC]]</f>
        <v>0.852130268022536</v>
      </c>
      <c r="AH62" s="15">
        <f>Tabla13[[#This Row],[Calculated GA_DNC]]/Tabla13[[#This Row],[Real GA_DNC]]</f>
        <v>0.99969254655997997</v>
      </c>
      <c r="AI62" s="15">
        <f>Tabla13[[#This Row],[Calculated HGA_(Ph2)]]/Tabla13[[#This Row],[Real HGA_(Ph2)]]</f>
        <v>0.99969254655997997</v>
      </c>
      <c r="AJ62" s="15">
        <f>Tabla13[[#This Row],[Calculated HGA_(Ph1)]]/Tabla13[[#This Row],[Real HGA_(Ph1)]]</f>
        <v>0.99969254655997997</v>
      </c>
      <c r="AK62" s="15">
        <f>Tabla13[[#This Row],[Calculated HGA^H]]/Tabla13[[#This Row],[Real GA^H]]</f>
        <v>0.99969254655997997</v>
      </c>
      <c r="AL62" s="15">
        <f>Tabla13[[#This Row],[Calculated HGA_(Ph2)^H]]/Tabla13[[#This Row],[Real HGA_(Ph2)^H]]</f>
        <v>0.99969254655997997</v>
      </c>
      <c r="AM62" s="15">
        <f>Tabla13[[#This Row],[Calculated HGA_(Ph1)^H]]/Tabla13[[#This Row],[Real HGA_(Ph1)^H]]</f>
        <v>0.99969254655997997</v>
      </c>
      <c r="AU62"/>
      <c r="AV62"/>
      <c r="AW62"/>
    </row>
    <row r="63" spans="1:49">
      <c r="A63" s="6" t="str">
        <f t="shared" si="9"/>
        <v>montage</v>
      </c>
      <c r="B63" t="s">
        <v>14</v>
      </c>
      <c r="C63">
        <f>_xlfn.XLOOKUP(B63,Instances!$B$2:$B$29,Instances!$A$2:$A$29,,0,1)</f>
        <v>58</v>
      </c>
      <c r="D63">
        <v>2</v>
      </c>
      <c r="E63">
        <v>128.541</v>
      </c>
      <c r="F63">
        <v>125.851</v>
      </c>
      <c r="G63">
        <v>128.89510000000001</v>
      </c>
      <c r="H63">
        <v>122.9819</v>
      </c>
      <c r="I63">
        <v>122.55289999999999</v>
      </c>
      <c r="J63">
        <v>124.7088</v>
      </c>
      <c r="K63">
        <v>123.5063</v>
      </c>
      <c r="L63">
        <v>122.7723</v>
      </c>
      <c r="M63">
        <v>124.56440000000001</v>
      </c>
      <c r="N63" s="13">
        <f t="shared" si="10"/>
        <v>2.0927174986969121E-2</v>
      </c>
      <c r="O63" s="13">
        <f t="shared" si="11"/>
        <v>-2.7547630717048781E-3</v>
      </c>
      <c r="P63" s="13">
        <f t="shared" si="12"/>
        <v>4.3247679728646897E-2</v>
      </c>
      <c r="Q63" s="13">
        <f t="shared" si="13"/>
        <v>4.6585136260026007E-2</v>
      </c>
      <c r="R63" s="13">
        <f t="shared" si="14"/>
        <v>2.9813055756529049E-2</v>
      </c>
      <c r="S63" s="13">
        <f t="shared" si="15"/>
        <v>3.9168047549031054E-2</v>
      </c>
      <c r="T63" s="13">
        <f t="shared" si="16"/>
        <v>4.487828786146051E-2</v>
      </c>
      <c r="U63" s="7">
        <f t="shared" si="17"/>
        <v>3.093643273352464E-2</v>
      </c>
      <c r="V63">
        <v>111.035</v>
      </c>
      <c r="W63">
        <v>121.634</v>
      </c>
      <c r="X63">
        <v>110.8634</v>
      </c>
      <c r="Y63">
        <v>119.75660000000001</v>
      </c>
      <c r="Z63">
        <v>119.6709</v>
      </c>
      <c r="AA63">
        <v>120.7803</v>
      </c>
      <c r="AB63">
        <v>119.9194</v>
      </c>
      <c r="AC63">
        <v>119.6459</v>
      </c>
      <c r="AD63">
        <v>120.72750000000001</v>
      </c>
      <c r="AE63" s="14">
        <f>Tabla13[[#This Row],[Calculated HEFT_NC]]/Tabla13[[#This Row],[Real HEFT_NC]]</f>
        <v>0.86380999058666108</v>
      </c>
      <c r="AF63" s="14">
        <f>Tabla13[[#This Row],[Calculated HEFT_DNC]]/Tabla13[[#This Row],[Real HEFT_DNC]]</f>
        <v>0.96649212163590281</v>
      </c>
      <c r="AG63" s="14">
        <f>Tabla13[[#This Row],[Calculated GA_NC]]/Tabla13[[#This Row],[Real GA_NC]]</f>
        <v>0.86010562077224029</v>
      </c>
      <c r="AH63" s="15">
        <f>Tabla13[[#This Row],[Calculated GA_DNC]]/Tabla13[[#This Row],[Real GA_DNC]]</f>
        <v>0.97377418953520811</v>
      </c>
      <c r="AI63" s="15">
        <f>Tabla13[[#This Row],[Calculated HGA_(Ph2)]]/Tabla13[[#This Row],[Real HGA_(Ph2)]]</f>
        <v>0.97648362462251004</v>
      </c>
      <c r="AJ63" s="15">
        <f>Tabla13[[#This Row],[Calculated HGA_(Ph1)]]/Tabla13[[#This Row],[Real HGA_(Ph1)]]</f>
        <v>0.9684986143720411</v>
      </c>
      <c r="AK63" s="15">
        <f>Tabla13[[#This Row],[Calculated HGA^H]]/Tabla13[[#This Row],[Real GA^H]]</f>
        <v>0.97095775681078622</v>
      </c>
      <c r="AL63" s="15">
        <f>Tabla13[[#This Row],[Calculated HGA_(Ph2)^H]]/Tabla13[[#This Row],[Real HGA_(Ph2)^H]]</f>
        <v>0.97453497246528731</v>
      </c>
      <c r="AM63" s="15">
        <f>Tabla13[[#This Row],[Calculated HGA_(Ph1)^H]]/Tabla13[[#This Row],[Real HGA_(Ph1)^H]]</f>
        <v>0.96919745930619017</v>
      </c>
      <c r="AU63"/>
      <c r="AV63"/>
      <c r="AW63"/>
    </row>
    <row r="64" spans="1:49">
      <c r="A64" s="6" t="str">
        <f t="shared" si="9"/>
        <v>montage</v>
      </c>
      <c r="B64" t="s">
        <v>14</v>
      </c>
      <c r="C64">
        <f>_xlfn.XLOOKUP(B64,Instances!$B$2:$B$29,Instances!$A$2:$A$29,,0,1)</f>
        <v>58</v>
      </c>
      <c r="D64">
        <v>4</v>
      </c>
      <c r="E64">
        <v>67.847399999999993</v>
      </c>
      <c r="F64">
        <v>65.900099999999981</v>
      </c>
      <c r="G64">
        <v>68.536910000000006</v>
      </c>
      <c r="H64">
        <v>64.387169999999998</v>
      </c>
      <c r="I64">
        <v>63.336979999999997</v>
      </c>
      <c r="J64">
        <v>65.416160000000019</v>
      </c>
      <c r="K64">
        <v>64.715560000000011</v>
      </c>
      <c r="L64">
        <v>63.760770000000001</v>
      </c>
      <c r="M64">
        <v>65.433089999999993</v>
      </c>
      <c r="N64" s="13">
        <f t="shared" si="10"/>
        <v>2.8701173515860785E-2</v>
      </c>
      <c r="O64" s="13">
        <f t="shared" si="11"/>
        <v>-1.0162659143902535E-2</v>
      </c>
      <c r="P64" s="13">
        <f t="shared" si="12"/>
        <v>5.100018571087464E-2</v>
      </c>
      <c r="Q64" s="13">
        <f t="shared" si="13"/>
        <v>6.6478892337805087E-2</v>
      </c>
      <c r="R64" s="13">
        <f t="shared" si="14"/>
        <v>3.5833945000102792E-2</v>
      </c>
      <c r="S64" s="13">
        <f t="shared" si="15"/>
        <v>4.6160059191656319E-2</v>
      </c>
      <c r="T64" s="13">
        <f t="shared" si="16"/>
        <v>6.0232669195871807E-2</v>
      </c>
      <c r="U64" s="7">
        <f t="shared" si="17"/>
        <v>3.5584414435925339E-2</v>
      </c>
      <c r="V64">
        <v>55.887999999999998</v>
      </c>
      <c r="W64">
        <v>62.00419999999999</v>
      </c>
      <c r="X64">
        <v>56.043780000000012</v>
      </c>
      <c r="Y64">
        <v>60.747210000000003</v>
      </c>
      <c r="Z64">
        <v>60.439280000000011</v>
      </c>
      <c r="AA64">
        <v>61.927059999999997</v>
      </c>
      <c r="AB64">
        <v>60.845479999999988</v>
      </c>
      <c r="AC64">
        <v>60.446240000000003</v>
      </c>
      <c r="AD64">
        <v>61.744799999999998</v>
      </c>
      <c r="AE64" s="14">
        <f>Tabla13[[#This Row],[Calculated HEFT_NC]]/Tabla13[[#This Row],[Real HEFT_NC]]</f>
        <v>0.82373090199477073</v>
      </c>
      <c r="AF64" s="14">
        <f>Tabla13[[#This Row],[Calculated HEFT_DNC]]/Tabla13[[#This Row],[Real HEFT_DNC]]</f>
        <v>0.94088172855579899</v>
      </c>
      <c r="AG64" s="14">
        <f>Tabla13[[#This Row],[Calculated GA_NC]]/Tabla13[[#This Row],[Real GA_NC]]</f>
        <v>0.81771676020993667</v>
      </c>
      <c r="AH64" s="15">
        <f>Tabla13[[#This Row],[Calculated GA_DNC]]/Tabla13[[#This Row],[Real GA_DNC]]</f>
        <v>0.94346761940305812</v>
      </c>
      <c r="AI64" s="15">
        <f>Tabla13[[#This Row],[Calculated HGA_(Ph2)]]/Tabla13[[#This Row],[Real HGA_(Ph2)]]</f>
        <v>0.95424947637225543</v>
      </c>
      <c r="AJ64" s="15">
        <f>Tabla13[[#This Row],[Calculated HGA_(Ph1)]]/Tabla13[[#This Row],[Real HGA_(Ph1)]]</f>
        <v>0.94666302638369448</v>
      </c>
      <c r="AK64" s="15">
        <f>Tabla13[[#This Row],[Calculated HGA^H]]/Tabla13[[#This Row],[Real GA^H]]</f>
        <v>0.94019861683959738</v>
      </c>
      <c r="AL64" s="15">
        <f>Tabla13[[#This Row],[Calculated HGA_(Ph2)^H]]/Tabla13[[#This Row],[Real HGA_(Ph2)^H]]</f>
        <v>0.94801615476099177</v>
      </c>
      <c r="AM64" s="15">
        <f>Tabla13[[#This Row],[Calculated HGA_(Ph1)^H]]/Tabla13[[#This Row],[Real HGA_(Ph1)^H]]</f>
        <v>0.94363264825182491</v>
      </c>
      <c r="AU64"/>
      <c r="AV64"/>
      <c r="AW64"/>
    </row>
    <row r="65" spans="1:49">
      <c r="A65" s="6" t="str">
        <f t="shared" si="9"/>
        <v>montage</v>
      </c>
      <c r="B65" t="s">
        <v>14</v>
      </c>
      <c r="C65">
        <f>_xlfn.XLOOKUP(B65,Instances!$B$2:$B$29,Instances!$A$2:$A$29,,0,1)</f>
        <v>58</v>
      </c>
      <c r="D65">
        <v>8</v>
      </c>
      <c r="E65">
        <v>42.1494</v>
      </c>
      <c r="F65">
        <v>40.499099999999999</v>
      </c>
      <c r="G65">
        <v>43.18844</v>
      </c>
      <c r="H65">
        <v>40.067089999999993</v>
      </c>
      <c r="I65">
        <v>38.528080000000003</v>
      </c>
      <c r="J65">
        <v>41.257350000000002</v>
      </c>
      <c r="K65">
        <v>40.037349999999989</v>
      </c>
      <c r="L65">
        <v>38.655830000000002</v>
      </c>
      <c r="M65">
        <v>40.499099999999999</v>
      </c>
      <c r="N65" s="13">
        <f t="shared" si="10"/>
        <v>3.9153582257398713E-2</v>
      </c>
      <c r="O65" s="13">
        <f t="shared" si="11"/>
        <v>-2.4651359212705282E-2</v>
      </c>
      <c r="P65" s="13">
        <f t="shared" si="12"/>
        <v>4.9403075725870514E-2</v>
      </c>
      <c r="Q65" s="13">
        <f t="shared" si="13"/>
        <v>8.5916288250840994E-2</v>
      </c>
      <c r="R65" s="13">
        <f t="shared" si="14"/>
        <v>2.1164002334552748E-2</v>
      </c>
      <c r="S65" s="13">
        <f t="shared" si="15"/>
        <v>5.0108661096006361E-2</v>
      </c>
      <c r="T65" s="13">
        <f t="shared" si="16"/>
        <v>8.2885402876434741E-2</v>
      </c>
      <c r="U65" s="7">
        <f t="shared" si="17"/>
        <v>3.9153582257398713E-2</v>
      </c>
      <c r="V65">
        <v>36.177300000000002</v>
      </c>
      <c r="W65">
        <v>38.878</v>
      </c>
      <c r="X65">
        <v>36.741869999999992</v>
      </c>
      <c r="Y65">
        <v>38.720999999999997</v>
      </c>
      <c r="Z65">
        <v>37.560860000000012</v>
      </c>
      <c r="AA65">
        <v>39.73366</v>
      </c>
      <c r="AB65">
        <v>38.473200000000013</v>
      </c>
      <c r="AC65">
        <v>37.740079999999999</v>
      </c>
      <c r="AD65">
        <v>38.878</v>
      </c>
      <c r="AE65" s="14">
        <f>Tabla13[[#This Row],[Calculated HEFT_NC]]/Tabla13[[#This Row],[Real HEFT_NC]]</f>
        <v>0.85831115033665961</v>
      </c>
      <c r="AF65" s="14">
        <f>Tabla13[[#This Row],[Calculated HEFT_DNC]]/Tabla13[[#This Row],[Real HEFT_DNC]]</f>
        <v>0.95997194999395052</v>
      </c>
      <c r="AG65" s="14">
        <f>Tabla13[[#This Row],[Calculated GA_NC]]/Tabla13[[#This Row],[Real GA_NC]]</f>
        <v>0.85073390008993133</v>
      </c>
      <c r="AH65" s="15">
        <f>Tabla13[[#This Row],[Calculated GA_DNC]]/Tabla13[[#This Row],[Real GA_DNC]]</f>
        <v>0.96640409872541289</v>
      </c>
      <c r="AI65" s="15">
        <f>Tabla13[[#This Row],[Calculated HGA_(Ph2)]]/Tabla13[[#This Row],[Real HGA_(Ph2)]]</f>
        <v>0.97489571242584649</v>
      </c>
      <c r="AJ65" s="15">
        <f>Tabla13[[#This Row],[Calculated HGA_(Ph1)]]/Tabla13[[#This Row],[Real HGA_(Ph1)]]</f>
        <v>0.96306864110273682</v>
      </c>
      <c r="AK65" s="15">
        <f>Tabla13[[#This Row],[Calculated HGA^H]]/Tabla13[[#This Row],[Real GA^H]]</f>
        <v>0.96093272906423688</v>
      </c>
      <c r="AL65" s="15">
        <f>Tabla13[[#This Row],[Calculated HGA_(Ph2)^H]]/Tabla13[[#This Row],[Real HGA_(Ph2)^H]]</f>
        <v>0.97631017106604612</v>
      </c>
      <c r="AM65" s="15">
        <f>Tabla13[[#This Row],[Calculated HGA_(Ph1)^H]]/Tabla13[[#This Row],[Real HGA_(Ph1)^H]]</f>
        <v>0.95997194999395052</v>
      </c>
      <c r="AU65"/>
      <c r="AV65"/>
      <c r="AW65"/>
    </row>
    <row r="66" spans="1:49">
      <c r="A66" s="6" t="str">
        <f t="shared" ref="A66:A97" si="18">LEFT(B66,FIND("-",B66)-1)</f>
        <v>montage</v>
      </c>
      <c r="B66" t="s">
        <v>14</v>
      </c>
      <c r="C66">
        <f>_xlfn.XLOOKUP(B66,Instances!$B$2:$B$29,Instances!$A$2:$A$29,,0,1)</f>
        <v>58</v>
      </c>
      <c r="D66">
        <v>16</v>
      </c>
      <c r="E66">
        <v>25.499500000000001</v>
      </c>
      <c r="F66">
        <v>23.393000000000001</v>
      </c>
      <c r="G66">
        <v>26.474360000000001</v>
      </c>
      <c r="H66">
        <v>23.933450000000001</v>
      </c>
      <c r="I66">
        <v>23.578669999999999</v>
      </c>
      <c r="J66">
        <v>24.262789999999999</v>
      </c>
      <c r="K66">
        <v>23.692969999999999</v>
      </c>
      <c r="L66">
        <v>23.641390000000001</v>
      </c>
      <c r="M66">
        <v>23.393000000000001</v>
      </c>
      <c r="N66" s="13">
        <f t="shared" ref="N66:N97" si="19">(($E66-F66)/$E66)</f>
        <v>8.2609462930645708E-2</v>
      </c>
      <c r="O66" s="13">
        <f t="shared" ref="O66:O97" si="20">(($E66-G66)/$E66)</f>
        <v>-3.8230553540265479E-2</v>
      </c>
      <c r="P66" s="13">
        <f t="shared" ref="P66:P97" si="21">(($E66-H66)/$E66)</f>
        <v>6.1414929704504032E-2</v>
      </c>
      <c r="Q66" s="13">
        <f t="shared" ref="Q66:Q97" si="22">(($E66-I66)/$E66)</f>
        <v>7.5328143689092034E-2</v>
      </c>
      <c r="R66" s="13">
        <f t="shared" ref="R66:R97" si="23">(($E66-J66)/$E66)</f>
        <v>4.8499382340830295E-2</v>
      </c>
      <c r="S66" s="13">
        <f t="shared" ref="S66:S97" si="24">(($E66-K66)/$E66)</f>
        <v>7.0845702856918852E-2</v>
      </c>
      <c r="T66" s="13">
        <f t="shared" ref="T66:T97" si="25">(($E66-L66)/$E66)</f>
        <v>7.2868487617404262E-2</v>
      </c>
      <c r="U66" s="7">
        <f t="shared" ref="U66:U97" si="26">(($E66-M66)/$E66)</f>
        <v>8.2609462930645708E-2</v>
      </c>
      <c r="V66">
        <v>21.4465</v>
      </c>
      <c r="W66">
        <v>22.723600000000001</v>
      </c>
      <c r="X66">
        <v>21.41112</v>
      </c>
      <c r="Y66">
        <v>22.712240000000001</v>
      </c>
      <c r="Z66">
        <v>22.452369999999998</v>
      </c>
      <c r="AA66">
        <v>23.002659999999999</v>
      </c>
      <c r="AB66">
        <v>22.675519999999999</v>
      </c>
      <c r="AC66">
        <v>22.4132</v>
      </c>
      <c r="AD66">
        <v>22.723600000000001</v>
      </c>
      <c r="AE66" s="14">
        <f>Tabla13[[#This Row],[Calculated HEFT_NC]]/Tabla13[[#This Row],[Real HEFT_NC]]</f>
        <v>0.84105570697464649</v>
      </c>
      <c r="AF66" s="14">
        <f>Tabla13[[#This Row],[Calculated HEFT_DNC]]/Tabla13[[#This Row],[Real HEFT_DNC]]</f>
        <v>0.97138460223143674</v>
      </c>
      <c r="AG66" s="14">
        <f>Tabla13[[#This Row],[Calculated GA_NC]]/Tabla13[[#This Row],[Real GA_NC]]</f>
        <v>0.80874929554482144</v>
      </c>
      <c r="AH66" s="15">
        <f>Tabla13[[#This Row],[Calculated GA_DNC]]/Tabla13[[#This Row],[Real GA_DNC]]</f>
        <v>0.94897476126509139</v>
      </c>
      <c r="AI66" s="15">
        <f>Tabla13[[#This Row],[Calculated HGA_(Ph2)]]/Tabla13[[#This Row],[Real HGA_(Ph2)]]</f>
        <v>0.9522322505891978</v>
      </c>
      <c r="AJ66" s="15">
        <f>Tabla13[[#This Row],[Calculated HGA_(Ph1)]]/Tabla13[[#This Row],[Real HGA_(Ph1)]]</f>
        <v>0.94806326889858916</v>
      </c>
      <c r="AK66" s="15">
        <f>Tabla13[[#This Row],[Calculated HGA^H]]/Tabla13[[#This Row],[Real GA^H]]</f>
        <v>0.95705688227351826</v>
      </c>
      <c r="AL66" s="15">
        <f>Tabla13[[#This Row],[Calculated HGA_(Ph2)^H]]/Tabla13[[#This Row],[Real HGA_(Ph2)^H]]</f>
        <v>0.94804916292992913</v>
      </c>
      <c r="AM66" s="15">
        <f>Tabla13[[#This Row],[Calculated HGA_(Ph1)^H]]/Tabla13[[#This Row],[Real HGA_(Ph1)^H]]</f>
        <v>0.97138460223143674</v>
      </c>
      <c r="AU66"/>
      <c r="AV66"/>
      <c r="AW66"/>
    </row>
    <row r="67" spans="1:49">
      <c r="A67" s="6" t="str">
        <f t="shared" si="18"/>
        <v>montage</v>
      </c>
      <c r="B67" t="s">
        <v>15</v>
      </c>
      <c r="C67">
        <f>_xlfn.XLOOKUP(B67,Instances!$B$2:$B$29,Instances!$A$2:$A$29,,0,1)</f>
        <v>103</v>
      </c>
      <c r="D67">
        <v>1</v>
      </c>
      <c r="E67">
        <v>446.67500000000001</v>
      </c>
      <c r="F67">
        <v>446.67500000000001</v>
      </c>
      <c r="G67">
        <v>446.67500000000001</v>
      </c>
      <c r="H67">
        <v>446.67500000000001</v>
      </c>
      <c r="I67">
        <v>446.67500000000001</v>
      </c>
      <c r="J67">
        <v>446.67500000000001</v>
      </c>
      <c r="K67">
        <v>446.67500000000001</v>
      </c>
      <c r="L67">
        <v>446.67500000000001</v>
      </c>
      <c r="M67">
        <v>446.67500000000001</v>
      </c>
      <c r="N67" s="13">
        <f t="shared" si="19"/>
        <v>0</v>
      </c>
      <c r="O67" s="13">
        <f t="shared" si="20"/>
        <v>0</v>
      </c>
      <c r="P67" s="13">
        <f t="shared" si="21"/>
        <v>0</v>
      </c>
      <c r="Q67" s="13">
        <f t="shared" si="22"/>
        <v>0</v>
      </c>
      <c r="R67" s="13">
        <f t="shared" si="23"/>
        <v>0</v>
      </c>
      <c r="S67" s="13">
        <f t="shared" si="24"/>
        <v>0</v>
      </c>
      <c r="T67" s="13">
        <f t="shared" si="25"/>
        <v>0</v>
      </c>
      <c r="U67" s="7">
        <f t="shared" si="26"/>
        <v>0</v>
      </c>
      <c r="V67">
        <v>362.63299999999992</v>
      </c>
      <c r="W67">
        <v>446.50200000000012</v>
      </c>
      <c r="X67">
        <v>362.63299999999992</v>
      </c>
      <c r="Y67">
        <v>446.50200000000012</v>
      </c>
      <c r="Z67">
        <v>446.50200000000012</v>
      </c>
      <c r="AA67">
        <v>446.50200000000012</v>
      </c>
      <c r="AB67">
        <v>446.50200000000012</v>
      </c>
      <c r="AC67">
        <v>446.50200000000012</v>
      </c>
      <c r="AD67">
        <v>446.50200000000012</v>
      </c>
      <c r="AE67" s="14">
        <f>Tabla13[[#This Row],[Calculated HEFT_NC]]/Tabla13[[#This Row],[Real HEFT_NC]]</f>
        <v>0.8118497789220348</v>
      </c>
      <c r="AF67" s="14">
        <f>Tabla13[[#This Row],[Calculated HEFT_DNC]]/Tabla13[[#This Row],[Real HEFT_DNC]]</f>
        <v>0.99961269379302653</v>
      </c>
      <c r="AG67" s="14">
        <f>Tabla13[[#This Row],[Calculated GA_NC]]/Tabla13[[#This Row],[Real GA_NC]]</f>
        <v>0.8118497789220348</v>
      </c>
      <c r="AH67" s="15">
        <f>Tabla13[[#This Row],[Calculated GA_DNC]]/Tabla13[[#This Row],[Real GA_DNC]]</f>
        <v>0.99961269379302653</v>
      </c>
      <c r="AI67" s="15">
        <f>Tabla13[[#This Row],[Calculated HGA_(Ph2)]]/Tabla13[[#This Row],[Real HGA_(Ph2)]]</f>
        <v>0.99961269379302653</v>
      </c>
      <c r="AJ67" s="15">
        <f>Tabla13[[#This Row],[Calculated HGA_(Ph1)]]/Tabla13[[#This Row],[Real HGA_(Ph1)]]</f>
        <v>0.99961269379302653</v>
      </c>
      <c r="AK67" s="15">
        <f>Tabla13[[#This Row],[Calculated HGA^H]]/Tabla13[[#This Row],[Real GA^H]]</f>
        <v>0.99961269379302653</v>
      </c>
      <c r="AL67" s="15">
        <f>Tabla13[[#This Row],[Calculated HGA_(Ph2)^H]]/Tabla13[[#This Row],[Real HGA_(Ph2)^H]]</f>
        <v>0.99961269379302653</v>
      </c>
      <c r="AM67" s="15">
        <f>Tabla13[[#This Row],[Calculated HGA_(Ph1)^H]]/Tabla13[[#This Row],[Real HGA_(Ph1)^H]]</f>
        <v>0.99961269379302653</v>
      </c>
      <c r="AU67"/>
      <c r="AV67"/>
      <c r="AW67"/>
    </row>
    <row r="68" spans="1:49">
      <c r="A68" s="6" t="str">
        <f t="shared" si="18"/>
        <v>montage</v>
      </c>
      <c r="B68" t="s">
        <v>15</v>
      </c>
      <c r="C68">
        <f>_xlfn.XLOOKUP(B68,Instances!$B$2:$B$29,Instances!$A$2:$A$29,,0,1)</f>
        <v>103</v>
      </c>
      <c r="D68">
        <v>2</v>
      </c>
      <c r="E68">
        <v>217.43700000000001</v>
      </c>
      <c r="F68">
        <v>213.339</v>
      </c>
      <c r="G68">
        <v>226.3082</v>
      </c>
      <c r="H68">
        <v>206.892</v>
      </c>
      <c r="I68">
        <v>204.8672</v>
      </c>
      <c r="J68">
        <v>210.27760000000001</v>
      </c>
      <c r="K68">
        <v>207.76329999999999</v>
      </c>
      <c r="L68">
        <v>205.1858</v>
      </c>
      <c r="M68">
        <v>209.9623</v>
      </c>
      <c r="N68" s="13">
        <f t="shared" si="19"/>
        <v>1.8846838394569521E-2</v>
      </c>
      <c r="O68" s="13">
        <f t="shared" si="20"/>
        <v>-4.0798944061958116E-2</v>
      </c>
      <c r="P68" s="13">
        <f t="shared" si="21"/>
        <v>4.8496805971384886E-2</v>
      </c>
      <c r="Q68" s="13">
        <f t="shared" si="22"/>
        <v>5.780892856321608E-2</v>
      </c>
      <c r="R68" s="13">
        <f t="shared" si="23"/>
        <v>3.2926318887769812E-2</v>
      </c>
      <c r="S68" s="13">
        <f t="shared" si="24"/>
        <v>4.4489668271729392E-2</v>
      </c>
      <c r="T68" s="13">
        <f t="shared" si="25"/>
        <v>5.634367655918731E-2</v>
      </c>
      <c r="U68" s="7">
        <f t="shared" si="26"/>
        <v>3.437639408196403E-2</v>
      </c>
      <c r="V68">
        <v>186.27799999999999</v>
      </c>
      <c r="W68">
        <v>203.67699999999999</v>
      </c>
      <c r="X68">
        <v>182.14359999999999</v>
      </c>
      <c r="Y68">
        <v>200.5692</v>
      </c>
      <c r="Z68">
        <v>199.67009999999999</v>
      </c>
      <c r="AA68">
        <v>202.12299999999999</v>
      </c>
      <c r="AB68">
        <v>200.971</v>
      </c>
      <c r="AC68">
        <v>199.74809999999999</v>
      </c>
      <c r="AD68">
        <v>201.91120000000001</v>
      </c>
      <c r="AE68" s="14">
        <f>Tabla13[[#This Row],[Calculated HEFT_NC]]/Tabla13[[#This Row],[Real HEFT_NC]]</f>
        <v>0.85669872192865049</v>
      </c>
      <c r="AF68" s="14">
        <f>Tabla13[[#This Row],[Calculated HEFT_DNC]]/Tabla13[[#This Row],[Real HEFT_DNC]]</f>
        <v>0.95471057800027181</v>
      </c>
      <c r="AG68" s="14">
        <f>Tabla13[[#This Row],[Calculated GA_NC]]/Tabla13[[#This Row],[Real GA_NC]]</f>
        <v>0.8048475486084905</v>
      </c>
      <c r="AH68" s="15">
        <f>Tabla13[[#This Row],[Calculated GA_DNC]]/Tabla13[[#This Row],[Real GA_DNC]]</f>
        <v>0.96943912766080853</v>
      </c>
      <c r="AI68" s="15">
        <f>Tabla13[[#This Row],[Calculated HGA_(Ph2)]]/Tabla13[[#This Row],[Real HGA_(Ph2)]]</f>
        <v>0.97463185907749017</v>
      </c>
      <c r="AJ68" s="15">
        <f>Tabla13[[#This Row],[Calculated HGA_(Ph1)]]/Tabla13[[#This Row],[Real HGA_(Ph1)]]</f>
        <v>0.96121983511320264</v>
      </c>
      <c r="AK68" s="15">
        <f>Tabla13[[#This Row],[Calculated HGA^H]]/Tabla13[[#This Row],[Real GA^H]]</f>
        <v>0.9673075081113941</v>
      </c>
      <c r="AL68" s="15">
        <f>Tabla13[[#This Row],[Calculated HGA_(Ph2)^H]]/Tabla13[[#This Row],[Real HGA_(Ph2)^H]]</f>
        <v>0.97349865341558717</v>
      </c>
      <c r="AM68" s="15">
        <f>Tabla13[[#This Row],[Calculated HGA_(Ph1)^H]]/Tabla13[[#This Row],[Real HGA_(Ph1)^H]]</f>
        <v>0.96165454464920608</v>
      </c>
      <c r="AU68"/>
      <c r="AV68"/>
      <c r="AW68"/>
    </row>
    <row r="69" spans="1:49">
      <c r="A69" s="6" t="str">
        <f t="shared" si="18"/>
        <v>montage</v>
      </c>
      <c r="B69" t="s">
        <v>15</v>
      </c>
      <c r="C69">
        <f>_xlfn.XLOOKUP(B69,Instances!$B$2:$B$29,Instances!$A$2:$A$29,,0,1)</f>
        <v>103</v>
      </c>
      <c r="D69">
        <v>4</v>
      </c>
      <c r="E69">
        <v>115.967</v>
      </c>
      <c r="F69">
        <v>114.892</v>
      </c>
      <c r="G69">
        <v>118.2582</v>
      </c>
      <c r="H69">
        <v>111.64239999999999</v>
      </c>
      <c r="I69">
        <v>109.7953</v>
      </c>
      <c r="J69">
        <v>113.7962</v>
      </c>
      <c r="K69">
        <v>112.76600000000001</v>
      </c>
      <c r="L69">
        <v>109.87779999999999</v>
      </c>
      <c r="M69">
        <v>113.9905</v>
      </c>
      <c r="N69" s="13">
        <f t="shared" si="19"/>
        <v>9.2698784999181039E-3</v>
      </c>
      <c r="O69" s="13">
        <f t="shared" si="20"/>
        <v>-1.975734476187194E-2</v>
      </c>
      <c r="P69" s="13">
        <f t="shared" si="21"/>
        <v>3.729164331232164E-2</v>
      </c>
      <c r="Q69" s="13">
        <f t="shared" si="22"/>
        <v>5.3219450360878537E-2</v>
      </c>
      <c r="R69" s="13">
        <f t="shared" si="23"/>
        <v>1.8719118369881084E-2</v>
      </c>
      <c r="S69" s="13">
        <f t="shared" si="24"/>
        <v>2.760268007277927E-2</v>
      </c>
      <c r="T69" s="13">
        <f t="shared" si="25"/>
        <v>5.2508041080652303E-2</v>
      </c>
      <c r="U69" s="7">
        <f t="shared" si="26"/>
        <v>1.7043641725663347E-2</v>
      </c>
      <c r="V69">
        <v>100.715</v>
      </c>
      <c r="W69">
        <v>107.667</v>
      </c>
      <c r="X69">
        <v>99.35378</v>
      </c>
      <c r="Y69">
        <v>104.5444</v>
      </c>
      <c r="Z69">
        <v>102.4991</v>
      </c>
      <c r="AA69">
        <v>107.1688</v>
      </c>
      <c r="AB69">
        <v>104.7457</v>
      </c>
      <c r="AC69">
        <v>102.29559999999999</v>
      </c>
      <c r="AD69">
        <v>107.2055</v>
      </c>
      <c r="AE69" s="14">
        <f>Tabla13[[#This Row],[Calculated HEFT_NC]]/Tabla13[[#This Row],[Real HEFT_NC]]</f>
        <v>0.86847982615744135</v>
      </c>
      <c r="AF69" s="14">
        <f>Tabla13[[#This Row],[Calculated HEFT_DNC]]/Tabla13[[#This Row],[Real HEFT_DNC]]</f>
        <v>0.93711485569056163</v>
      </c>
      <c r="AG69" s="14">
        <f>Tabla13[[#This Row],[Calculated GA_NC]]/Tabla13[[#This Row],[Real GA_NC]]</f>
        <v>0.84014283998910855</v>
      </c>
      <c r="AH69" s="15">
        <f>Tabla13[[#This Row],[Calculated GA_DNC]]/Tabla13[[#This Row],[Real GA_DNC]]</f>
        <v>0.93642200454307678</v>
      </c>
      <c r="AI69" s="15">
        <f>Tabla13[[#This Row],[Calculated HGA_(Ph2)]]/Tabla13[[#This Row],[Real HGA_(Ph2)]]</f>
        <v>0.93354724655791277</v>
      </c>
      <c r="AJ69" s="15">
        <f>Tabla13[[#This Row],[Calculated HGA_(Ph1)]]/Tabla13[[#This Row],[Real HGA_(Ph1)]]</f>
        <v>0.94176079693346526</v>
      </c>
      <c r="AK69" s="15">
        <f>Tabla13[[#This Row],[Calculated HGA^H]]/Tabla13[[#This Row],[Real GA^H]]</f>
        <v>0.92887661174467473</v>
      </c>
      <c r="AL69" s="15">
        <f>Tabla13[[#This Row],[Calculated HGA_(Ph2)^H]]/Tabla13[[#This Row],[Real HGA_(Ph2)^H]]</f>
        <v>0.93099424997588232</v>
      </c>
      <c r="AM69" s="15">
        <f>Tabla13[[#This Row],[Calculated HGA_(Ph1)^H]]/Tabla13[[#This Row],[Real HGA_(Ph1)^H]]</f>
        <v>0.94047749593167851</v>
      </c>
      <c r="AU69"/>
      <c r="AV69"/>
      <c r="AW69"/>
    </row>
    <row r="70" spans="1:49">
      <c r="A70" s="6" t="str">
        <f t="shared" si="18"/>
        <v>montage</v>
      </c>
      <c r="B70" t="s">
        <v>15</v>
      </c>
      <c r="C70">
        <f>_xlfn.XLOOKUP(B70,Instances!$B$2:$B$29,Instances!$A$2:$A$29,,0,1)</f>
        <v>103</v>
      </c>
      <c r="D70">
        <v>8</v>
      </c>
      <c r="E70">
        <v>71.051500000000004</v>
      </c>
      <c r="F70">
        <v>63.400599999999983</v>
      </c>
      <c r="G70">
        <v>68.228030000000004</v>
      </c>
      <c r="H70">
        <v>60.687269999999998</v>
      </c>
      <c r="I70">
        <v>58.809360000000012</v>
      </c>
      <c r="J70">
        <v>64.521379999999994</v>
      </c>
      <c r="K70">
        <v>61.034799999999997</v>
      </c>
      <c r="L70">
        <v>59.487810000000003</v>
      </c>
      <c r="M70">
        <v>63.660159999999998</v>
      </c>
      <c r="N70" s="13">
        <f t="shared" si="19"/>
        <v>0.10768104825373175</v>
      </c>
      <c r="O70" s="13">
        <f t="shared" si="20"/>
        <v>3.9738358796084533E-2</v>
      </c>
      <c r="P70" s="13">
        <f t="shared" si="21"/>
        <v>0.14586926384383167</v>
      </c>
      <c r="Q70" s="13">
        <f t="shared" si="22"/>
        <v>0.17229952921472441</v>
      </c>
      <c r="R70" s="13">
        <f t="shared" si="23"/>
        <v>9.190685629437817E-2</v>
      </c>
      <c r="S70" s="13">
        <f t="shared" si="24"/>
        <v>0.14097802298332909</v>
      </c>
      <c r="T70" s="13">
        <f t="shared" si="25"/>
        <v>0.16275082158715862</v>
      </c>
      <c r="U70" s="7">
        <f t="shared" si="26"/>
        <v>0.10402792340766917</v>
      </c>
      <c r="V70">
        <v>52.270099999999999</v>
      </c>
      <c r="W70">
        <v>59.0092</v>
      </c>
      <c r="X70">
        <v>52.871940000000009</v>
      </c>
      <c r="Y70">
        <v>57.133519999999997</v>
      </c>
      <c r="Z70">
        <v>55.733240000000002</v>
      </c>
      <c r="AA70">
        <v>59.243869999999987</v>
      </c>
      <c r="AB70">
        <v>56.954779999999992</v>
      </c>
      <c r="AC70">
        <v>56.01198999999999</v>
      </c>
      <c r="AD70">
        <v>58.975559999999987</v>
      </c>
      <c r="AE70" s="14">
        <f>Tabla13[[#This Row],[Calculated HEFT_NC]]/Tabla13[[#This Row],[Real HEFT_NC]]</f>
        <v>0.73566497540516385</v>
      </c>
      <c r="AF70" s="14">
        <f>Tabla13[[#This Row],[Calculated HEFT_DNC]]/Tabla13[[#This Row],[Real HEFT_DNC]]</f>
        <v>0.93073567127125001</v>
      </c>
      <c r="AG70" s="14">
        <f>Tabla13[[#This Row],[Calculated GA_NC]]/Tabla13[[#This Row],[Real GA_NC]]</f>
        <v>0.77492989318319772</v>
      </c>
      <c r="AH70" s="15">
        <f>Tabla13[[#This Row],[Calculated GA_DNC]]/Tabla13[[#This Row],[Real GA_DNC]]</f>
        <v>0.94144159063342281</v>
      </c>
      <c r="AI70" s="15">
        <f>Tabla13[[#This Row],[Calculated HGA_(Ph2)]]/Tabla13[[#This Row],[Real HGA_(Ph2)]]</f>
        <v>0.94769336037664742</v>
      </c>
      <c r="AJ70" s="15">
        <f>Tabla13[[#This Row],[Calculated HGA_(Ph1)]]/Tabla13[[#This Row],[Real HGA_(Ph1)]]</f>
        <v>0.91820525227451721</v>
      </c>
      <c r="AK70" s="15">
        <f>Tabla13[[#This Row],[Calculated HGA^H]]/Tabla13[[#This Row],[Real GA^H]]</f>
        <v>0.93315256214487463</v>
      </c>
      <c r="AL70" s="15">
        <f>Tabla13[[#This Row],[Calculated HGA_(Ph2)^H]]/Tabla13[[#This Row],[Real HGA_(Ph2)^H]]</f>
        <v>0.94157088653961185</v>
      </c>
      <c r="AM70" s="15">
        <f>Tabla13[[#This Row],[Calculated HGA_(Ph1)^H]]/Tabla13[[#This Row],[Real HGA_(Ph1)^H]]</f>
        <v>0.92641237470970839</v>
      </c>
      <c r="AU70"/>
      <c r="AV70"/>
      <c r="AW70"/>
    </row>
    <row r="71" spans="1:49">
      <c r="A71" s="6" t="str">
        <f t="shared" si="18"/>
        <v>montage</v>
      </c>
      <c r="B71" t="s">
        <v>15</v>
      </c>
      <c r="C71">
        <f>_xlfn.XLOOKUP(B71,Instances!$B$2:$B$29,Instances!$A$2:$A$29,,0,1)</f>
        <v>103</v>
      </c>
      <c r="D71">
        <v>16</v>
      </c>
      <c r="E71">
        <v>46.741699999999987</v>
      </c>
      <c r="F71">
        <v>41.307899999999997</v>
      </c>
      <c r="G71">
        <v>47.110700000000001</v>
      </c>
      <c r="H71">
        <v>39.946930000000009</v>
      </c>
      <c r="I71">
        <v>37.867469999999997</v>
      </c>
      <c r="J71">
        <v>41.425040000000003</v>
      </c>
      <c r="K71">
        <v>39.447839999999999</v>
      </c>
      <c r="L71">
        <v>37.878500000000003</v>
      </c>
      <c r="M71">
        <v>41.49438</v>
      </c>
      <c r="N71" s="13">
        <f t="shared" si="19"/>
        <v>0.11625165537410903</v>
      </c>
      <c r="O71" s="13">
        <f t="shared" si="20"/>
        <v>-7.8944497097883492E-3</v>
      </c>
      <c r="P71" s="13">
        <f t="shared" si="21"/>
        <v>0.1453684825327273</v>
      </c>
      <c r="Q71" s="13">
        <f t="shared" si="22"/>
        <v>0.18985680880241823</v>
      </c>
      <c r="R71" s="13">
        <f t="shared" si="23"/>
        <v>0.11374554198927267</v>
      </c>
      <c r="S71" s="13">
        <f t="shared" si="24"/>
        <v>0.15604610016323733</v>
      </c>
      <c r="T71" s="13">
        <f t="shared" si="25"/>
        <v>0.18962083107803068</v>
      </c>
      <c r="U71" s="7">
        <f t="shared" si="26"/>
        <v>0.11226207005735754</v>
      </c>
      <c r="V71">
        <v>35.53609999999999</v>
      </c>
      <c r="W71">
        <v>39.868000000000002</v>
      </c>
      <c r="X71">
        <v>35.783299999999997</v>
      </c>
      <c r="Y71">
        <v>38.354059999999997</v>
      </c>
      <c r="Z71">
        <v>36.898960000000002</v>
      </c>
      <c r="AA71">
        <v>39.138509999999997</v>
      </c>
      <c r="AB71">
        <v>38.028380000000013</v>
      </c>
      <c r="AC71">
        <v>36.917769999999997</v>
      </c>
      <c r="AD71">
        <v>39.262599999999999</v>
      </c>
      <c r="AE71" s="14">
        <f>Tabla13[[#This Row],[Calculated HEFT_NC]]/Tabla13[[#This Row],[Real HEFT_NC]]</f>
        <v>0.76026545889430641</v>
      </c>
      <c r="AF71" s="14">
        <f>Tabla13[[#This Row],[Calculated HEFT_DNC]]/Tabla13[[#This Row],[Real HEFT_DNC]]</f>
        <v>0.96514226092345545</v>
      </c>
      <c r="AG71" s="14">
        <f>Tabla13[[#This Row],[Calculated GA_NC]]/Tabla13[[#This Row],[Real GA_NC]]</f>
        <v>0.75955780746199897</v>
      </c>
      <c r="AH71" s="15">
        <f>Tabla13[[#This Row],[Calculated GA_DNC]]/Tabla13[[#This Row],[Real GA_DNC]]</f>
        <v>0.96012534630320745</v>
      </c>
      <c r="AI71" s="15">
        <f>Tabla13[[#This Row],[Calculated HGA_(Ph2)]]/Tabla13[[#This Row],[Real HGA_(Ph2)]]</f>
        <v>0.97442369400437912</v>
      </c>
      <c r="AJ71" s="15">
        <f>Tabla13[[#This Row],[Calculated HGA_(Ph1)]]/Tabla13[[#This Row],[Real HGA_(Ph1)]]</f>
        <v>0.94480319149963388</v>
      </c>
      <c r="AK71" s="15">
        <f>Tabla13[[#This Row],[Calculated HGA^H]]/Tabla13[[#This Row],[Real GA^H]]</f>
        <v>0.96401678773793475</v>
      </c>
      <c r="AL71" s="15">
        <f>Tabla13[[#This Row],[Calculated HGA_(Ph2)^H]]/Tabla13[[#This Row],[Real HGA_(Ph2)^H]]</f>
        <v>0.97463653523766769</v>
      </c>
      <c r="AM71" s="15">
        <f>Tabla13[[#This Row],[Calculated HGA_(Ph1)^H]]/Tabla13[[#This Row],[Real HGA_(Ph1)^H]]</f>
        <v>0.9462148850037041</v>
      </c>
      <c r="AU71"/>
      <c r="AV71"/>
      <c r="AW71"/>
    </row>
    <row r="72" spans="1:49">
      <c r="A72" s="6" t="str">
        <f t="shared" si="18"/>
        <v>montage</v>
      </c>
      <c r="B72" t="s">
        <v>16</v>
      </c>
      <c r="C72">
        <f>_xlfn.XLOOKUP(B72,Instances!$B$2:$B$29,Instances!$A$2:$A$29,,0,1)</f>
        <v>472</v>
      </c>
      <c r="D72">
        <v>1</v>
      </c>
      <c r="E72">
        <v>42123.400000000009</v>
      </c>
      <c r="F72">
        <v>42123.400000000009</v>
      </c>
      <c r="G72">
        <v>42123.400000000009</v>
      </c>
      <c r="H72">
        <v>42123.400000000009</v>
      </c>
      <c r="I72">
        <v>42123.400000000009</v>
      </c>
      <c r="J72">
        <v>42123.400000000009</v>
      </c>
      <c r="K72">
        <v>42123.400000000009</v>
      </c>
      <c r="L72">
        <v>42123.400000000009</v>
      </c>
      <c r="M72">
        <v>42123.400000000009</v>
      </c>
      <c r="N72" s="13">
        <f t="shared" si="19"/>
        <v>0</v>
      </c>
      <c r="O72" s="13">
        <f t="shared" si="20"/>
        <v>0</v>
      </c>
      <c r="P72" s="13">
        <f t="shared" si="21"/>
        <v>0</v>
      </c>
      <c r="Q72" s="13">
        <f t="shared" si="22"/>
        <v>0</v>
      </c>
      <c r="R72" s="13">
        <f t="shared" si="23"/>
        <v>0</v>
      </c>
      <c r="S72" s="13">
        <f t="shared" si="24"/>
        <v>0</v>
      </c>
      <c r="T72" s="13">
        <f t="shared" si="25"/>
        <v>0</v>
      </c>
      <c r="U72" s="7">
        <f t="shared" si="26"/>
        <v>0</v>
      </c>
      <c r="V72">
        <v>37089.300000000003</v>
      </c>
      <c r="W72">
        <v>42123.099999999991</v>
      </c>
      <c r="X72">
        <v>37089.300000000003</v>
      </c>
      <c r="Y72">
        <v>42123.099999999991</v>
      </c>
      <c r="Z72">
        <v>42123.099999999991</v>
      </c>
      <c r="AA72">
        <v>42123.099999999991</v>
      </c>
      <c r="AB72">
        <v>42123.099999999991</v>
      </c>
      <c r="AC72">
        <v>42123.099999999991</v>
      </c>
      <c r="AD72">
        <v>42123.099999999991</v>
      </c>
      <c r="AE72" s="14">
        <f>Tabla13[[#This Row],[Calculated HEFT_NC]]/Tabla13[[#This Row],[Real HEFT_NC]]</f>
        <v>0.88049160324190345</v>
      </c>
      <c r="AF72" s="14">
        <f>Tabla13[[#This Row],[Calculated HEFT_DNC]]/Tabla13[[#This Row],[Real HEFT_DNC]]</f>
        <v>0.99999287806777193</v>
      </c>
      <c r="AG72" s="14">
        <f>Tabla13[[#This Row],[Calculated GA_NC]]/Tabla13[[#This Row],[Real GA_NC]]</f>
        <v>0.88049160324190345</v>
      </c>
      <c r="AH72" s="15">
        <f>Tabla13[[#This Row],[Calculated GA_DNC]]/Tabla13[[#This Row],[Real GA_DNC]]</f>
        <v>0.99999287806777193</v>
      </c>
      <c r="AI72" s="15">
        <f>Tabla13[[#This Row],[Calculated HGA_(Ph2)]]/Tabla13[[#This Row],[Real HGA_(Ph2)]]</f>
        <v>0.99999287806777193</v>
      </c>
      <c r="AJ72" s="15">
        <f>Tabla13[[#This Row],[Calculated HGA_(Ph1)]]/Tabla13[[#This Row],[Real HGA_(Ph1)]]</f>
        <v>0.99999287806777193</v>
      </c>
      <c r="AK72" s="15">
        <f>Tabla13[[#This Row],[Calculated HGA^H]]/Tabla13[[#This Row],[Real GA^H]]</f>
        <v>0.99999287806777193</v>
      </c>
      <c r="AL72" s="15">
        <f>Tabla13[[#This Row],[Calculated HGA_(Ph2)^H]]/Tabla13[[#This Row],[Real HGA_(Ph2)^H]]</f>
        <v>0.99999287806777193</v>
      </c>
      <c r="AM72" s="15">
        <f>Tabla13[[#This Row],[Calculated HGA_(Ph1)^H]]/Tabla13[[#This Row],[Real HGA_(Ph1)^H]]</f>
        <v>0.99999287806777193</v>
      </c>
      <c r="AU72"/>
      <c r="AV72"/>
      <c r="AW72"/>
    </row>
    <row r="73" spans="1:49">
      <c r="A73" s="6" t="str">
        <f t="shared" si="18"/>
        <v>montage</v>
      </c>
      <c r="B73" t="s">
        <v>16</v>
      </c>
      <c r="C73">
        <f>_xlfn.XLOOKUP(B73,Instances!$B$2:$B$29,Instances!$A$2:$A$29,,0,1)</f>
        <v>472</v>
      </c>
      <c r="D73">
        <v>2</v>
      </c>
      <c r="E73">
        <v>21018.7</v>
      </c>
      <c r="F73">
        <v>20778.599999999999</v>
      </c>
      <c r="G73">
        <v>20784.84</v>
      </c>
      <c r="H73">
        <v>20497.349999999999</v>
      </c>
      <c r="I73">
        <v>20322.490000000002</v>
      </c>
      <c r="J73">
        <v>20762.099999999999</v>
      </c>
      <c r="K73">
        <v>20694.349999999999</v>
      </c>
      <c r="L73">
        <v>20578.96</v>
      </c>
      <c r="M73">
        <v>20778.599999999999</v>
      </c>
      <c r="N73" s="13">
        <f t="shared" si="19"/>
        <v>1.1423161280193455E-2</v>
      </c>
      <c r="O73" s="13">
        <f t="shared" si="20"/>
        <v>1.1126282786280816E-2</v>
      </c>
      <c r="P73" s="13">
        <f t="shared" si="21"/>
        <v>2.4804103013031355E-2</v>
      </c>
      <c r="Q73" s="13">
        <f t="shared" si="22"/>
        <v>3.3123361578023335E-2</v>
      </c>
      <c r="R73" s="13">
        <f t="shared" si="23"/>
        <v>1.2208176528519946E-2</v>
      </c>
      <c r="S73" s="13">
        <f t="shared" si="24"/>
        <v>1.5431496714830231E-2</v>
      </c>
      <c r="T73" s="13">
        <f t="shared" si="25"/>
        <v>2.092137001812679E-2</v>
      </c>
      <c r="U73" s="7">
        <f t="shared" si="26"/>
        <v>1.1423161280193455E-2</v>
      </c>
      <c r="V73">
        <v>18545.5</v>
      </c>
      <c r="W73">
        <v>19939.900000000001</v>
      </c>
      <c r="X73">
        <v>18545.400000000001</v>
      </c>
      <c r="Y73">
        <v>19919.2</v>
      </c>
      <c r="Z73">
        <v>19847.21</v>
      </c>
      <c r="AA73">
        <v>19948.04</v>
      </c>
      <c r="AB73">
        <v>19909.45</v>
      </c>
      <c r="AC73">
        <v>19864.11</v>
      </c>
      <c r="AD73">
        <v>19939.900000000001</v>
      </c>
      <c r="AE73" s="14">
        <f>Tabla13[[#This Row],[Calculated HEFT_NC]]/Tabla13[[#This Row],[Real HEFT_NC]]</f>
        <v>0.88233335077811659</v>
      </c>
      <c r="AF73" s="14">
        <f>Tabla13[[#This Row],[Calculated HEFT_DNC]]/Tabla13[[#This Row],[Real HEFT_DNC]]</f>
        <v>0.95963635663615465</v>
      </c>
      <c r="AG73" s="14">
        <f>Tabla13[[#This Row],[Calculated GA_NC]]/Tabla13[[#This Row],[Real GA_NC]]</f>
        <v>0.89225608664776834</v>
      </c>
      <c r="AH73" s="15">
        <f>Tabla13[[#This Row],[Calculated GA_DNC]]/Tabla13[[#This Row],[Real GA_DNC]]</f>
        <v>0.97179391482313582</v>
      </c>
      <c r="AI73" s="15">
        <f>Tabla13[[#This Row],[Calculated HGA_(Ph2)]]/Tabla13[[#This Row],[Real HGA_(Ph2)]]</f>
        <v>0.97661310203621687</v>
      </c>
      <c r="AJ73" s="15">
        <f>Tabla13[[#This Row],[Calculated HGA_(Ph1)]]/Tabla13[[#This Row],[Real HGA_(Ph1)]]</f>
        <v>0.96079105678134691</v>
      </c>
      <c r="AK73" s="15">
        <f>Tabla13[[#This Row],[Calculated HGA^H]]/Tabla13[[#This Row],[Real GA^H]]</f>
        <v>0.96207177321346171</v>
      </c>
      <c r="AL73" s="15">
        <f>Tabla13[[#This Row],[Calculated HGA_(Ph2)^H]]/Tabla13[[#This Row],[Real HGA_(Ph2)^H]]</f>
        <v>0.96526306480016488</v>
      </c>
      <c r="AM73" s="15">
        <f>Tabla13[[#This Row],[Calculated HGA_(Ph1)^H]]/Tabla13[[#This Row],[Real HGA_(Ph1)^H]]</f>
        <v>0.95963635663615465</v>
      </c>
      <c r="AU73"/>
      <c r="AV73"/>
      <c r="AW73"/>
    </row>
    <row r="74" spans="1:49">
      <c r="A74" s="6" t="str">
        <f t="shared" si="18"/>
        <v>montage</v>
      </c>
      <c r="B74" t="s">
        <v>16</v>
      </c>
      <c r="C74">
        <f>_xlfn.XLOOKUP(B74,Instances!$B$2:$B$29,Instances!$A$2:$A$29,,0,1)</f>
        <v>472</v>
      </c>
      <c r="D74">
        <v>4</v>
      </c>
      <c r="E74">
        <v>11084</v>
      </c>
      <c r="F74">
        <v>10763.8</v>
      </c>
      <c r="G74">
        <v>10845.6</v>
      </c>
      <c r="H74">
        <v>10525.66</v>
      </c>
      <c r="I74">
        <v>10422.14</v>
      </c>
      <c r="J74">
        <v>10734.47</v>
      </c>
      <c r="K74">
        <v>10687.41</v>
      </c>
      <c r="L74">
        <v>10675.37</v>
      </c>
      <c r="M74">
        <v>10763.8</v>
      </c>
      <c r="N74" s="13">
        <f t="shared" si="19"/>
        <v>2.8888487910501689E-2</v>
      </c>
      <c r="O74" s="13">
        <f t="shared" si="20"/>
        <v>2.150848069289062E-2</v>
      </c>
      <c r="P74" s="13">
        <f t="shared" si="21"/>
        <v>5.0373511367737295E-2</v>
      </c>
      <c r="Q74" s="13">
        <f t="shared" si="22"/>
        <v>5.9713099963911997E-2</v>
      </c>
      <c r="R74" s="13">
        <f t="shared" si="23"/>
        <v>3.153464453265975E-2</v>
      </c>
      <c r="S74" s="13">
        <f t="shared" si="24"/>
        <v>3.5780404186214379E-2</v>
      </c>
      <c r="T74" s="13">
        <f t="shared" si="25"/>
        <v>3.6866654637314977E-2</v>
      </c>
      <c r="U74" s="7">
        <f t="shared" si="26"/>
        <v>2.8888487910501689E-2</v>
      </c>
      <c r="V74">
        <v>9282.27</v>
      </c>
      <c r="W74">
        <v>10017.1</v>
      </c>
      <c r="X74">
        <v>9387.0779999999995</v>
      </c>
      <c r="Y74">
        <v>10023.237999999999</v>
      </c>
      <c r="Z74">
        <v>9966.3590000000004</v>
      </c>
      <c r="AA74">
        <v>10096.129999999999</v>
      </c>
      <c r="AB74">
        <v>9991.4889999999996</v>
      </c>
      <c r="AC74">
        <v>9983.1939999999995</v>
      </c>
      <c r="AD74">
        <v>10017.1</v>
      </c>
      <c r="AE74" s="14">
        <f>Tabla13[[#This Row],[Calculated HEFT_NC]]/Tabla13[[#This Row],[Real HEFT_NC]]</f>
        <v>0.83744767232046191</v>
      </c>
      <c r="AF74" s="14">
        <f>Tabla13[[#This Row],[Calculated HEFT_DNC]]/Tabla13[[#This Row],[Real HEFT_DNC]]</f>
        <v>0.93062858841673024</v>
      </c>
      <c r="AG74" s="14">
        <f>Tabla13[[#This Row],[Calculated GA_NC]]/Tabla13[[#This Row],[Real GA_NC]]</f>
        <v>0.8655194733348085</v>
      </c>
      <c r="AH74" s="15">
        <f>Tabla13[[#This Row],[Calculated GA_DNC]]/Tabla13[[#This Row],[Real GA_DNC]]</f>
        <v>0.95226693623012704</v>
      </c>
      <c r="AI74" s="15">
        <f>Tabla13[[#This Row],[Calculated HGA_(Ph2)]]/Tabla13[[#This Row],[Real HGA_(Ph2)]]</f>
        <v>0.95626800254074507</v>
      </c>
      <c r="AJ74" s="15">
        <f>Tabla13[[#This Row],[Calculated HGA_(Ph1)]]/Tabla13[[#This Row],[Real HGA_(Ph1)]]</f>
        <v>0.94053362671841267</v>
      </c>
      <c r="AK74" s="15">
        <f>Tabla13[[#This Row],[Calculated HGA^H]]/Tabla13[[#This Row],[Real GA^H]]</f>
        <v>0.93488403645036544</v>
      </c>
      <c r="AL74" s="15">
        <f>Tabla13[[#This Row],[Calculated HGA_(Ph2)^H]]/Tabla13[[#This Row],[Real HGA_(Ph2)^H]]</f>
        <v>0.93516140424172645</v>
      </c>
      <c r="AM74" s="15">
        <f>Tabla13[[#This Row],[Calculated HGA_(Ph1)^H]]/Tabla13[[#This Row],[Real HGA_(Ph1)^H]]</f>
        <v>0.93062858841673024</v>
      </c>
      <c r="AU74"/>
      <c r="AV74"/>
      <c r="AW74"/>
    </row>
    <row r="75" spans="1:49">
      <c r="A75" s="6" t="str">
        <f t="shared" si="18"/>
        <v>montage</v>
      </c>
      <c r="B75" t="s">
        <v>16</v>
      </c>
      <c r="C75">
        <f>_xlfn.XLOOKUP(B75,Instances!$B$2:$B$29,Instances!$A$2:$A$29,,0,1)</f>
        <v>472</v>
      </c>
      <c r="D75">
        <v>8</v>
      </c>
      <c r="E75">
        <v>5961.39</v>
      </c>
      <c r="F75">
        <v>5471.86</v>
      </c>
      <c r="G75">
        <v>5712.1459999999997</v>
      </c>
      <c r="H75">
        <v>5483.6949999999997</v>
      </c>
      <c r="I75">
        <v>5375.7150000000001</v>
      </c>
      <c r="J75">
        <v>5579.1790000000001</v>
      </c>
      <c r="K75">
        <v>5462.08</v>
      </c>
      <c r="L75">
        <v>5467.2430000000004</v>
      </c>
      <c r="M75">
        <v>5471.86</v>
      </c>
      <c r="N75" s="13">
        <f t="shared" si="19"/>
        <v>8.2116754649502993E-2</v>
      </c>
      <c r="O75" s="13">
        <f t="shared" si="20"/>
        <v>4.180971216444497E-2</v>
      </c>
      <c r="P75" s="13">
        <f t="shared" si="21"/>
        <v>8.0131479403293626E-2</v>
      </c>
      <c r="Q75" s="13">
        <f t="shared" si="22"/>
        <v>9.8244704674580949E-2</v>
      </c>
      <c r="R75" s="13">
        <f t="shared" si="23"/>
        <v>6.4114409558844537E-2</v>
      </c>
      <c r="S75" s="13">
        <f t="shared" si="24"/>
        <v>8.3757311633696235E-2</v>
      </c>
      <c r="T75" s="13">
        <f t="shared" si="25"/>
        <v>8.2891238452776933E-2</v>
      </c>
      <c r="U75" s="7">
        <f t="shared" si="26"/>
        <v>8.2116754649502993E-2</v>
      </c>
      <c r="V75">
        <v>4653.6200000000008</v>
      </c>
      <c r="W75">
        <v>5043.1400000000003</v>
      </c>
      <c r="X75">
        <v>4877.0670000000009</v>
      </c>
      <c r="Y75">
        <v>5165.9540000000006</v>
      </c>
      <c r="Z75">
        <v>5033.6089999999986</v>
      </c>
      <c r="AA75">
        <v>5208.496000000001</v>
      </c>
      <c r="AB75">
        <v>5032.0860000000002</v>
      </c>
      <c r="AC75">
        <v>5025.1729999999989</v>
      </c>
      <c r="AD75">
        <v>5043.1400000000003</v>
      </c>
      <c r="AE75" s="14">
        <f>Tabla13[[#This Row],[Calculated HEFT_NC]]/Tabla13[[#This Row],[Real HEFT_NC]]</f>
        <v>0.78062666592858387</v>
      </c>
      <c r="AF75" s="14">
        <f>Tabla13[[#This Row],[Calculated HEFT_DNC]]/Tabla13[[#This Row],[Real HEFT_DNC]]</f>
        <v>0.92165004221599245</v>
      </c>
      <c r="AG75" s="14">
        <f>Tabla13[[#This Row],[Calculated GA_NC]]/Tabla13[[#This Row],[Real GA_NC]]</f>
        <v>0.85380643281876922</v>
      </c>
      <c r="AH75" s="15">
        <f>Tabla13[[#This Row],[Calculated GA_DNC]]/Tabla13[[#This Row],[Real GA_DNC]]</f>
        <v>0.94205713483335618</v>
      </c>
      <c r="AI75" s="15">
        <f>Tabla13[[#This Row],[Calculated HGA_(Ph2)]]/Tabla13[[#This Row],[Real HGA_(Ph2)]]</f>
        <v>0.93636083758160515</v>
      </c>
      <c r="AJ75" s="15">
        <f>Tabla13[[#This Row],[Calculated HGA_(Ph1)]]/Tabla13[[#This Row],[Real HGA_(Ph1)]]</f>
        <v>0.9335595792857696</v>
      </c>
      <c r="AK75" s="15">
        <f>Tabla13[[#This Row],[Calculated HGA^H]]/Tabla13[[#This Row],[Real GA^H]]</f>
        <v>0.92127651004745448</v>
      </c>
      <c r="AL75" s="15">
        <f>Tabla13[[#This Row],[Calculated HGA_(Ph2)^H]]/Tabla13[[#This Row],[Real HGA_(Ph2)^H]]</f>
        <v>0.91914206118147634</v>
      </c>
      <c r="AM75" s="15">
        <f>Tabla13[[#This Row],[Calculated HGA_(Ph1)^H]]/Tabla13[[#This Row],[Real HGA_(Ph1)^H]]</f>
        <v>0.92165004221599245</v>
      </c>
      <c r="AU75"/>
      <c r="AV75"/>
      <c r="AW75"/>
    </row>
    <row r="76" spans="1:49">
      <c r="A76" s="6" t="str">
        <f t="shared" si="18"/>
        <v>montage</v>
      </c>
      <c r="B76" t="s">
        <v>16</v>
      </c>
      <c r="C76">
        <f>_xlfn.XLOOKUP(B76,Instances!$B$2:$B$29,Instances!$A$2:$A$29,,0,1)</f>
        <v>472</v>
      </c>
      <c r="D76">
        <v>16</v>
      </c>
      <c r="E76">
        <v>3087.2</v>
      </c>
      <c r="F76">
        <v>2849.25</v>
      </c>
      <c r="G76">
        <v>3082.8249999999998</v>
      </c>
      <c r="H76">
        <v>2976</v>
      </c>
      <c r="I76">
        <v>2797.9650000000001</v>
      </c>
      <c r="J76">
        <v>2938.0729999999999</v>
      </c>
      <c r="K76">
        <v>2818.9830000000002</v>
      </c>
      <c r="L76">
        <v>2803.6219999999998</v>
      </c>
      <c r="M76">
        <v>2849.25</v>
      </c>
      <c r="N76" s="13">
        <f t="shared" si="19"/>
        <v>7.707631510754076E-2</v>
      </c>
      <c r="O76" s="13">
        <f t="shared" si="20"/>
        <v>1.4171417465664682E-3</v>
      </c>
      <c r="P76" s="13">
        <f t="shared" si="21"/>
        <v>3.6019694221300795E-2</v>
      </c>
      <c r="Q76" s="13">
        <f t="shared" si="22"/>
        <v>9.3688455558434733E-2</v>
      </c>
      <c r="R76" s="13">
        <f t="shared" si="23"/>
        <v>4.8304936512049743E-2</v>
      </c>
      <c r="S76" s="13">
        <f t="shared" si="24"/>
        <v>8.6880344648872648E-2</v>
      </c>
      <c r="T76" s="13">
        <f t="shared" si="25"/>
        <v>9.1856050790360189E-2</v>
      </c>
      <c r="U76" s="7">
        <f t="shared" si="26"/>
        <v>7.707631510754076E-2</v>
      </c>
      <c r="V76">
        <v>2372.11</v>
      </c>
      <c r="W76">
        <v>2582.81</v>
      </c>
      <c r="X76">
        <v>2651.8389999999999</v>
      </c>
      <c r="Y76">
        <v>2820.0309999999999</v>
      </c>
      <c r="Z76">
        <v>2593.3989999999999</v>
      </c>
      <c r="AA76">
        <v>2742.558</v>
      </c>
      <c r="AB76">
        <v>2566.9250000000002</v>
      </c>
      <c r="AC76">
        <v>2554.9229999999998</v>
      </c>
      <c r="AD76">
        <v>2582.81</v>
      </c>
      <c r="AE76" s="14">
        <f>Tabla13[[#This Row],[Calculated HEFT_NC]]/Tabla13[[#This Row],[Real HEFT_NC]]</f>
        <v>0.76836939621663647</v>
      </c>
      <c r="AF76" s="14">
        <f>Tabla13[[#This Row],[Calculated HEFT_DNC]]/Tabla13[[#This Row],[Real HEFT_DNC]]</f>
        <v>0.90648767219443716</v>
      </c>
      <c r="AG76" s="14">
        <f>Tabla13[[#This Row],[Calculated GA_NC]]/Tabla13[[#This Row],[Real GA_NC]]</f>
        <v>0.86019770827082309</v>
      </c>
      <c r="AH76" s="15">
        <f>Tabla13[[#This Row],[Calculated GA_DNC]]/Tabla13[[#This Row],[Real GA_DNC]]</f>
        <v>0.94759106182795694</v>
      </c>
      <c r="AI76" s="15">
        <f>Tabla13[[#This Row],[Calculated HGA_(Ph2)]]/Tabla13[[#This Row],[Real HGA_(Ph2)]]</f>
        <v>0.92688757722130177</v>
      </c>
      <c r="AJ76" s="15">
        <f>Tabla13[[#This Row],[Calculated HGA_(Ph1)]]/Tabla13[[#This Row],[Real HGA_(Ph1)]]</f>
        <v>0.93345468271210419</v>
      </c>
      <c r="AK76" s="15">
        <f>Tabla13[[#This Row],[Calculated HGA^H]]/Tabla13[[#This Row],[Real GA^H]]</f>
        <v>0.91058548419766983</v>
      </c>
      <c r="AL76" s="15">
        <f>Tabla13[[#This Row],[Calculated HGA_(Ph2)^H]]/Tabla13[[#This Row],[Real HGA_(Ph2)^H]]</f>
        <v>0.91129367653699389</v>
      </c>
      <c r="AM76" s="15">
        <f>Tabla13[[#This Row],[Calculated HGA_(Ph1)^H]]/Tabla13[[#This Row],[Real HGA_(Ph1)^H]]</f>
        <v>0.90648767219443716</v>
      </c>
      <c r="AU76"/>
      <c r="AV76"/>
      <c r="AW76"/>
    </row>
    <row r="77" spans="1:49">
      <c r="A77" s="6" t="str">
        <f t="shared" si="18"/>
        <v>montage</v>
      </c>
      <c r="B77" t="s">
        <v>17</v>
      </c>
      <c r="C77">
        <f>_xlfn.XLOOKUP(B77,Instances!$B$2:$B$29,Instances!$A$2:$A$29,,0,1)</f>
        <v>1066</v>
      </c>
      <c r="D77">
        <v>1</v>
      </c>
      <c r="E77">
        <v>48408.2</v>
      </c>
      <c r="F77">
        <v>48408.2</v>
      </c>
      <c r="G77">
        <v>48408.2</v>
      </c>
      <c r="H77">
        <v>48408.2</v>
      </c>
      <c r="I77">
        <v>48408.2</v>
      </c>
      <c r="J77">
        <v>48408.2</v>
      </c>
      <c r="K77">
        <v>48408.2</v>
      </c>
      <c r="L77">
        <v>48408.2</v>
      </c>
      <c r="M77">
        <v>48408.2</v>
      </c>
      <c r="N77" s="13">
        <f t="shared" si="19"/>
        <v>0</v>
      </c>
      <c r="O77" s="13">
        <f t="shared" si="20"/>
        <v>0</v>
      </c>
      <c r="P77" s="13">
        <f t="shared" si="21"/>
        <v>0</v>
      </c>
      <c r="Q77" s="13">
        <f t="shared" si="22"/>
        <v>0</v>
      </c>
      <c r="R77" s="13">
        <f t="shared" si="23"/>
        <v>0</v>
      </c>
      <c r="S77" s="13">
        <f t="shared" si="24"/>
        <v>0</v>
      </c>
      <c r="T77" s="13">
        <f t="shared" si="25"/>
        <v>0</v>
      </c>
      <c r="U77" s="7">
        <f t="shared" si="26"/>
        <v>0</v>
      </c>
      <c r="V77">
        <v>36969.099999999991</v>
      </c>
      <c r="W77">
        <v>48407.599999999991</v>
      </c>
      <c r="X77">
        <v>36969.099999999991</v>
      </c>
      <c r="Y77">
        <v>48407.599999999991</v>
      </c>
      <c r="Z77">
        <v>48407.599999999991</v>
      </c>
      <c r="AA77">
        <v>48407.599999999991</v>
      </c>
      <c r="AB77">
        <v>48407.599999999991</v>
      </c>
      <c r="AC77">
        <v>48407.599999999991</v>
      </c>
      <c r="AD77">
        <v>48407.599999999991</v>
      </c>
      <c r="AE77" s="14">
        <f>Tabla13[[#This Row],[Calculated HEFT_NC]]/Tabla13[[#This Row],[Real HEFT_NC]]</f>
        <v>0.76369499382336037</v>
      </c>
      <c r="AF77" s="14">
        <f>Tabla13[[#This Row],[Calculated HEFT_DNC]]/Tabla13[[#This Row],[Real HEFT_DNC]]</f>
        <v>0.99998760540569565</v>
      </c>
      <c r="AG77" s="14">
        <f>Tabla13[[#This Row],[Calculated GA_NC]]/Tabla13[[#This Row],[Real GA_NC]]</f>
        <v>0.76369499382336037</v>
      </c>
      <c r="AH77" s="15">
        <f>Tabla13[[#This Row],[Calculated GA_DNC]]/Tabla13[[#This Row],[Real GA_DNC]]</f>
        <v>0.99998760540569565</v>
      </c>
      <c r="AI77" s="15">
        <f>Tabla13[[#This Row],[Calculated HGA_(Ph2)]]/Tabla13[[#This Row],[Real HGA_(Ph2)]]</f>
        <v>0.99998760540569565</v>
      </c>
      <c r="AJ77" s="15">
        <f>Tabla13[[#This Row],[Calculated HGA_(Ph1)]]/Tabla13[[#This Row],[Real HGA_(Ph1)]]</f>
        <v>0.99998760540569565</v>
      </c>
      <c r="AK77" s="15">
        <f>Tabla13[[#This Row],[Calculated HGA^H]]/Tabla13[[#This Row],[Real GA^H]]</f>
        <v>0.99998760540569565</v>
      </c>
      <c r="AL77" s="15">
        <f>Tabla13[[#This Row],[Calculated HGA_(Ph2)^H]]/Tabla13[[#This Row],[Real HGA_(Ph2)^H]]</f>
        <v>0.99998760540569565</v>
      </c>
      <c r="AM77" s="15">
        <f>Tabla13[[#This Row],[Calculated HGA_(Ph1)^H]]/Tabla13[[#This Row],[Real HGA_(Ph1)^H]]</f>
        <v>0.99998760540569565</v>
      </c>
      <c r="AU77"/>
      <c r="AV77"/>
      <c r="AW77"/>
    </row>
    <row r="78" spans="1:49">
      <c r="A78" s="6" t="str">
        <f t="shared" si="18"/>
        <v>montage</v>
      </c>
      <c r="B78" t="s">
        <v>17</v>
      </c>
      <c r="C78">
        <f>_xlfn.XLOOKUP(B78,Instances!$B$2:$B$29,Instances!$A$2:$A$29,,0,1)</f>
        <v>1066</v>
      </c>
      <c r="D78">
        <v>2</v>
      </c>
      <c r="E78">
        <v>24143.599999999999</v>
      </c>
      <c r="F78">
        <v>23878.7</v>
      </c>
      <c r="G78">
        <v>23875.46</v>
      </c>
      <c r="H78">
        <v>23192.95</v>
      </c>
      <c r="I78">
        <v>22771.51</v>
      </c>
      <c r="J78">
        <v>23803.81</v>
      </c>
      <c r="K78">
        <v>23703.62</v>
      </c>
      <c r="L78">
        <v>23379.21</v>
      </c>
      <c r="M78">
        <v>23816.9</v>
      </c>
      <c r="N78" s="13">
        <f t="shared" si="19"/>
        <v>1.0971851753673762E-2</v>
      </c>
      <c r="O78" s="13">
        <f t="shared" si="20"/>
        <v>1.1106048807965648E-2</v>
      </c>
      <c r="P78" s="13">
        <f t="shared" si="21"/>
        <v>3.9374823969913264E-2</v>
      </c>
      <c r="Q78" s="13">
        <f t="shared" si="22"/>
        <v>5.6830381550390177E-2</v>
      </c>
      <c r="R78" s="13">
        <f t="shared" si="23"/>
        <v>1.4073708974634986E-2</v>
      </c>
      <c r="S78" s="13">
        <f t="shared" si="24"/>
        <v>1.8223462946702216E-2</v>
      </c>
      <c r="T78" s="13">
        <f t="shared" si="25"/>
        <v>3.1660150101890334E-2</v>
      </c>
      <c r="U78" s="7">
        <f t="shared" si="26"/>
        <v>1.3531536307758458E-2</v>
      </c>
      <c r="V78">
        <v>18587.8</v>
      </c>
      <c r="W78">
        <v>21652.6</v>
      </c>
      <c r="X78">
        <v>18501.82</v>
      </c>
      <c r="Y78">
        <v>21564.74</v>
      </c>
      <c r="Z78">
        <v>21413.88</v>
      </c>
      <c r="AA78">
        <v>21601.99</v>
      </c>
      <c r="AB78">
        <v>21549.84</v>
      </c>
      <c r="AC78">
        <v>21445.91</v>
      </c>
      <c r="AD78">
        <v>21605.02</v>
      </c>
      <c r="AE78" s="14">
        <f>Tabla13[[#This Row],[Calculated HEFT_NC]]/Tabla13[[#This Row],[Real HEFT_NC]]</f>
        <v>0.76988518696466146</v>
      </c>
      <c r="AF78" s="14">
        <f>Tabla13[[#This Row],[Calculated HEFT_DNC]]/Tabla13[[#This Row],[Real HEFT_DNC]]</f>
        <v>0.90677465691180836</v>
      </c>
      <c r="AG78" s="14">
        <f>Tabla13[[#This Row],[Calculated GA_NC]]/Tabla13[[#This Row],[Real GA_NC]]</f>
        <v>0.77493040971776039</v>
      </c>
      <c r="AH78" s="15">
        <f>Tabla13[[#This Row],[Calculated GA_DNC]]/Tabla13[[#This Row],[Real GA_DNC]]</f>
        <v>0.92979720130470689</v>
      </c>
      <c r="AI78" s="15">
        <f>Tabla13[[#This Row],[Calculated HGA_(Ph2)]]/Tabla13[[#This Row],[Real HGA_(Ph2)]]</f>
        <v>0.94038032611803091</v>
      </c>
      <c r="AJ78" s="15">
        <f>Tabla13[[#This Row],[Calculated HGA_(Ph1)]]/Tabla13[[#This Row],[Real HGA_(Ph1)]]</f>
        <v>0.90750136217689525</v>
      </c>
      <c r="AK78" s="15">
        <f>Tabla13[[#This Row],[Calculated HGA^H]]/Tabla13[[#This Row],[Real GA^H]]</f>
        <v>0.90913708539033278</v>
      </c>
      <c r="AL78" s="15">
        <f>Tabla13[[#This Row],[Calculated HGA_(Ph2)^H]]/Tabla13[[#This Row],[Real HGA_(Ph2)^H]]</f>
        <v>0.91730687221681151</v>
      </c>
      <c r="AM78" s="15">
        <f>Tabla13[[#This Row],[Calculated HGA_(Ph1)^H]]/Tabla13[[#This Row],[Real HGA_(Ph1)^H]]</f>
        <v>0.90712981118449498</v>
      </c>
      <c r="AU78"/>
      <c r="AV78"/>
      <c r="AW78"/>
    </row>
    <row r="79" spans="1:49">
      <c r="A79" s="6" t="str">
        <f t="shared" si="18"/>
        <v>montage</v>
      </c>
      <c r="B79" t="s">
        <v>17</v>
      </c>
      <c r="C79">
        <f>_xlfn.XLOOKUP(B79,Instances!$B$2:$B$29,Instances!$A$2:$A$29,,0,1)</f>
        <v>1066</v>
      </c>
      <c r="D79">
        <v>4</v>
      </c>
      <c r="E79">
        <v>13083.9</v>
      </c>
      <c r="F79">
        <v>12971.5</v>
      </c>
      <c r="G79">
        <v>12852.16</v>
      </c>
      <c r="H79">
        <v>12297.78</v>
      </c>
      <c r="I79">
        <v>12101.85</v>
      </c>
      <c r="J79">
        <v>12714.55</v>
      </c>
      <c r="K79">
        <v>12767.67</v>
      </c>
      <c r="L79">
        <v>12508.2</v>
      </c>
      <c r="M79">
        <v>12944.67</v>
      </c>
      <c r="N79" s="13">
        <f t="shared" si="19"/>
        <v>8.5907107208095176E-3</v>
      </c>
      <c r="O79" s="13">
        <f t="shared" si="20"/>
        <v>1.7711844327761583E-2</v>
      </c>
      <c r="P79" s="13">
        <f t="shared" si="21"/>
        <v>6.0083002774402053E-2</v>
      </c>
      <c r="Q79" s="13">
        <f t="shared" si="22"/>
        <v>7.5057895581592593E-2</v>
      </c>
      <c r="R79" s="13">
        <f t="shared" si="23"/>
        <v>2.8229350575898652E-2</v>
      </c>
      <c r="S79" s="13">
        <f t="shared" si="24"/>
        <v>2.4169399032398564E-2</v>
      </c>
      <c r="T79" s="13">
        <f t="shared" si="25"/>
        <v>4.4000642010409659E-2</v>
      </c>
      <c r="U79" s="7">
        <f t="shared" si="26"/>
        <v>1.0641322541444032E-2</v>
      </c>
      <c r="V79">
        <v>9309.4299999999985</v>
      </c>
      <c r="W79">
        <v>10928.1</v>
      </c>
      <c r="X79">
        <v>9462.2480000000014</v>
      </c>
      <c r="Y79">
        <v>10906.63</v>
      </c>
      <c r="Z79">
        <v>10796.47</v>
      </c>
      <c r="AA79">
        <v>10980.58</v>
      </c>
      <c r="AB79">
        <v>10872.71</v>
      </c>
      <c r="AC79">
        <v>10797.15</v>
      </c>
      <c r="AD79">
        <v>10927.88</v>
      </c>
      <c r="AE79" s="14">
        <f>Tabla13[[#This Row],[Calculated HEFT_NC]]/Tabla13[[#This Row],[Real HEFT_NC]]</f>
        <v>0.71151797246998205</v>
      </c>
      <c r="AF79" s="14">
        <f>Tabla13[[#This Row],[Calculated HEFT_DNC]]/Tabla13[[#This Row],[Real HEFT_DNC]]</f>
        <v>0.84247003045137414</v>
      </c>
      <c r="AG79" s="14">
        <f>Tabla13[[#This Row],[Calculated GA_NC]]/Tabla13[[#This Row],[Real GA_NC]]</f>
        <v>0.73623795533202208</v>
      </c>
      <c r="AH79" s="15">
        <f>Tabla13[[#This Row],[Calculated GA_DNC]]/Tabla13[[#This Row],[Real GA_DNC]]</f>
        <v>0.88687795683448545</v>
      </c>
      <c r="AI79" s="15">
        <f>Tabla13[[#This Row],[Calculated HGA_(Ph2)]]/Tabla13[[#This Row],[Real HGA_(Ph2)]]</f>
        <v>0.89213384730433765</v>
      </c>
      <c r="AJ79" s="15">
        <f>Tabla13[[#This Row],[Calculated HGA_(Ph1)]]/Tabla13[[#This Row],[Real HGA_(Ph1)]]</f>
        <v>0.86362317187788795</v>
      </c>
      <c r="AK79" s="15">
        <f>Tabla13[[#This Row],[Calculated HGA^H]]/Tabla13[[#This Row],[Real GA^H]]</f>
        <v>0.85158137702493875</v>
      </c>
      <c r="AL79" s="15">
        <f>Tabla13[[#This Row],[Calculated HGA_(Ph2)^H]]/Tabla13[[#This Row],[Real HGA_(Ph2)^H]]</f>
        <v>0.86320573703650394</v>
      </c>
      <c r="AM79" s="15">
        <f>Tabla13[[#This Row],[Calculated HGA_(Ph1)^H]]/Tabla13[[#This Row],[Real HGA_(Ph1)^H]]</f>
        <v>0.8441991954989968</v>
      </c>
      <c r="AU79"/>
      <c r="AV79"/>
      <c r="AW79"/>
    </row>
    <row r="80" spans="1:49">
      <c r="A80" s="6" t="str">
        <f t="shared" si="18"/>
        <v>montage</v>
      </c>
      <c r="B80" t="s">
        <v>17</v>
      </c>
      <c r="C80">
        <f>_xlfn.XLOOKUP(B80,Instances!$B$2:$B$29,Instances!$A$2:$A$29,,0,1)</f>
        <v>1066</v>
      </c>
      <c r="D80">
        <v>8</v>
      </c>
      <c r="E80">
        <v>8902.35</v>
      </c>
      <c r="F80">
        <v>6920.42</v>
      </c>
      <c r="G80">
        <v>6927.0319999999992</v>
      </c>
      <c r="H80">
        <v>6606.3109999999997</v>
      </c>
      <c r="I80">
        <v>6296.8559999999998</v>
      </c>
      <c r="J80">
        <v>6800.2709999999988</v>
      </c>
      <c r="K80">
        <v>6590.8320000000003</v>
      </c>
      <c r="L80">
        <v>6535.8130000000001</v>
      </c>
      <c r="M80">
        <v>6920.42</v>
      </c>
      <c r="N80" s="13">
        <f t="shared" si="19"/>
        <v>0.22262997972445481</v>
      </c>
      <c r="O80" s="13">
        <f t="shared" si="20"/>
        <v>0.22188725448898336</v>
      </c>
      <c r="P80" s="13">
        <f t="shared" si="21"/>
        <v>0.25791380927507912</v>
      </c>
      <c r="Q80" s="13">
        <f t="shared" si="22"/>
        <v>0.29267485551567851</v>
      </c>
      <c r="R80" s="13">
        <f t="shared" si="23"/>
        <v>0.23612630372879087</v>
      </c>
      <c r="S80" s="13">
        <f t="shared" si="24"/>
        <v>0.25965256364892414</v>
      </c>
      <c r="T80" s="13">
        <f t="shared" si="25"/>
        <v>0.26583284189006273</v>
      </c>
      <c r="U80" s="7">
        <f t="shared" si="26"/>
        <v>0.22262997972445481</v>
      </c>
      <c r="V80">
        <v>4778.49</v>
      </c>
      <c r="W80">
        <v>5588.0599999999986</v>
      </c>
      <c r="X80">
        <v>4976.1400000000003</v>
      </c>
      <c r="Y80">
        <v>5772.2480000000014</v>
      </c>
      <c r="Z80">
        <v>5475.326</v>
      </c>
      <c r="AA80">
        <v>5785.8759999999993</v>
      </c>
      <c r="AB80">
        <v>5481.7089999999998</v>
      </c>
      <c r="AC80">
        <v>5440.3799999999992</v>
      </c>
      <c r="AD80">
        <v>5588.0599999999986</v>
      </c>
      <c r="AE80" s="14">
        <f>Tabla13[[#This Row],[Calculated HEFT_NC]]/Tabla13[[#This Row],[Real HEFT_NC]]</f>
        <v>0.53676725808353964</v>
      </c>
      <c r="AF80" s="14">
        <f>Tabla13[[#This Row],[Calculated HEFT_DNC]]/Tabla13[[#This Row],[Real HEFT_DNC]]</f>
        <v>0.80747411284286197</v>
      </c>
      <c r="AG80" s="14">
        <f>Tabla13[[#This Row],[Calculated GA_NC]]/Tabla13[[#This Row],[Real GA_NC]]</f>
        <v>0.7183653836159557</v>
      </c>
      <c r="AH80" s="15">
        <f>Tabla13[[#This Row],[Calculated GA_DNC]]/Tabla13[[#This Row],[Real GA_DNC]]</f>
        <v>0.87374754231219232</v>
      </c>
      <c r="AI80" s="15">
        <f>Tabla13[[#This Row],[Calculated HGA_(Ph2)]]/Tabla13[[#This Row],[Real HGA_(Ph2)]]</f>
        <v>0.86953330360421144</v>
      </c>
      <c r="AJ80" s="15">
        <f>Tabla13[[#This Row],[Calculated HGA_(Ph1)]]/Tabla13[[#This Row],[Real HGA_(Ph1)]]</f>
        <v>0.85083020956076605</v>
      </c>
      <c r="AK80" s="15">
        <f>Tabla13[[#This Row],[Calculated HGA^H]]/Tabla13[[#This Row],[Real GA^H]]</f>
        <v>0.8317173006382198</v>
      </c>
      <c r="AL80" s="15">
        <f>Tabla13[[#This Row],[Calculated HGA_(Ph2)^H]]/Tabla13[[#This Row],[Real HGA_(Ph2)^H]]</f>
        <v>0.83239529649945598</v>
      </c>
      <c r="AM80" s="15">
        <f>Tabla13[[#This Row],[Calculated HGA_(Ph1)^H]]/Tabla13[[#This Row],[Real HGA_(Ph1)^H]]</f>
        <v>0.80747411284286197</v>
      </c>
      <c r="AU80"/>
      <c r="AV80"/>
      <c r="AW80"/>
    </row>
    <row r="81" spans="1:49">
      <c r="A81" s="6" t="str">
        <f t="shared" si="18"/>
        <v>montage</v>
      </c>
      <c r="B81" t="s">
        <v>17</v>
      </c>
      <c r="C81">
        <f>_xlfn.XLOOKUP(B81,Instances!$B$2:$B$29,Instances!$A$2:$A$29,,0,1)</f>
        <v>1066</v>
      </c>
      <c r="D81">
        <v>16</v>
      </c>
      <c r="E81">
        <v>4813.46</v>
      </c>
      <c r="F81">
        <v>3582.39</v>
      </c>
      <c r="G81">
        <v>3826.8679999999999</v>
      </c>
      <c r="H81">
        <v>3677.712</v>
      </c>
      <c r="I81">
        <v>3315.5680000000002</v>
      </c>
      <c r="J81">
        <v>3752.9960000000001</v>
      </c>
      <c r="K81">
        <v>3415.808</v>
      </c>
      <c r="L81">
        <v>3366.4250000000002</v>
      </c>
      <c r="M81">
        <v>3582.39</v>
      </c>
      <c r="N81" s="13">
        <f t="shared" si="19"/>
        <v>0.25575573495988335</v>
      </c>
      <c r="O81" s="13">
        <f t="shared" si="20"/>
        <v>0.20496524329692156</v>
      </c>
      <c r="P81" s="13">
        <f t="shared" si="21"/>
        <v>0.23595251648502324</v>
      </c>
      <c r="Q81" s="13">
        <f t="shared" si="22"/>
        <v>0.31118820972855282</v>
      </c>
      <c r="R81" s="13">
        <f t="shared" si="23"/>
        <v>0.22031220785048591</v>
      </c>
      <c r="S81" s="13">
        <f t="shared" si="24"/>
        <v>0.29036327298866099</v>
      </c>
      <c r="T81" s="13">
        <f t="shared" si="25"/>
        <v>0.30062262904438802</v>
      </c>
      <c r="U81" s="7">
        <f t="shared" si="26"/>
        <v>0.25575573495988335</v>
      </c>
      <c r="V81">
        <v>2469.67</v>
      </c>
      <c r="W81">
        <v>2925.47</v>
      </c>
      <c r="X81">
        <v>2730.3240000000001</v>
      </c>
      <c r="Y81">
        <v>3240.569</v>
      </c>
      <c r="Z81">
        <v>2825.5929999999998</v>
      </c>
      <c r="AA81">
        <v>3166.2130000000002</v>
      </c>
      <c r="AB81">
        <v>2839.0659999999998</v>
      </c>
      <c r="AC81">
        <v>2767.1970000000001</v>
      </c>
      <c r="AD81">
        <v>2925.47</v>
      </c>
      <c r="AE81" s="14">
        <f>Tabla13[[#This Row],[Calculated HEFT_NC]]/Tabla13[[#This Row],[Real HEFT_NC]]</f>
        <v>0.51307583318444527</v>
      </c>
      <c r="AF81" s="14">
        <f>Tabla13[[#This Row],[Calculated HEFT_DNC]]/Tabla13[[#This Row],[Real HEFT_DNC]]</f>
        <v>0.81662521389351794</v>
      </c>
      <c r="AG81" s="14">
        <f>Tabla13[[#This Row],[Calculated GA_NC]]/Tabla13[[#This Row],[Real GA_NC]]</f>
        <v>0.71346176560048591</v>
      </c>
      <c r="AH81" s="15">
        <f>Tabla13[[#This Row],[Calculated GA_DNC]]/Tabla13[[#This Row],[Real GA_DNC]]</f>
        <v>0.88113723967510238</v>
      </c>
      <c r="AI81" s="15">
        <f>Tabla13[[#This Row],[Calculated HGA_(Ph2)]]/Tabla13[[#This Row],[Real HGA_(Ph2)]]</f>
        <v>0.85221989113177576</v>
      </c>
      <c r="AJ81" s="15">
        <f>Tabla13[[#This Row],[Calculated HGA_(Ph1)]]/Tabla13[[#This Row],[Real HGA_(Ph1)]]</f>
        <v>0.84364944700180877</v>
      </c>
      <c r="AK81" s="15">
        <f>Tabla13[[#This Row],[Calculated HGA^H]]/Tabla13[[#This Row],[Real GA^H]]</f>
        <v>0.8311550297909015</v>
      </c>
      <c r="AL81" s="15">
        <f>Tabla13[[#This Row],[Calculated HGA_(Ph2)^H]]/Tabla13[[#This Row],[Real HGA_(Ph2)^H]]</f>
        <v>0.82199870782803719</v>
      </c>
      <c r="AM81" s="15">
        <f>Tabla13[[#This Row],[Calculated HGA_(Ph1)^H]]/Tabla13[[#This Row],[Real HGA_(Ph1)^H]]</f>
        <v>0.81662521389351794</v>
      </c>
      <c r="AU81"/>
      <c r="AV81"/>
      <c r="AW81"/>
    </row>
    <row r="82" spans="1:49">
      <c r="A82" s="6" t="str">
        <f t="shared" si="18"/>
        <v>seismology</v>
      </c>
      <c r="B82" t="s">
        <v>21</v>
      </c>
      <c r="C82">
        <f>_xlfn.XLOOKUP(B82,Instances!$B$2:$B$29,Instances!$A$2:$A$29,,0,1)</f>
        <v>1001</v>
      </c>
      <c r="D82">
        <v>1</v>
      </c>
      <c r="E82">
        <v>539.58199999999999</v>
      </c>
      <c r="F82">
        <v>539.58199999999999</v>
      </c>
      <c r="G82">
        <v>539.58200000000011</v>
      </c>
      <c r="H82">
        <v>539.58200000000011</v>
      </c>
      <c r="I82">
        <v>539.58200000000011</v>
      </c>
      <c r="J82">
        <v>539.58200000000011</v>
      </c>
      <c r="K82">
        <v>539.58200000000011</v>
      </c>
      <c r="L82">
        <v>539.58200000000011</v>
      </c>
      <c r="M82">
        <v>539.58200000000011</v>
      </c>
      <c r="N82" s="13">
        <f t="shared" si="19"/>
        <v>0</v>
      </c>
      <c r="O82" s="13">
        <f t="shared" si="20"/>
        <v>-2.1069427394096917E-16</v>
      </c>
      <c r="P82" s="13">
        <f t="shared" si="21"/>
        <v>-2.1069427394096917E-16</v>
      </c>
      <c r="Q82" s="13">
        <f t="shared" si="22"/>
        <v>-2.1069427394096917E-16</v>
      </c>
      <c r="R82" s="13">
        <f t="shared" si="23"/>
        <v>-2.1069427394096917E-16</v>
      </c>
      <c r="S82" s="13">
        <f t="shared" si="24"/>
        <v>-2.1069427394096917E-16</v>
      </c>
      <c r="T82" s="13">
        <f t="shared" si="25"/>
        <v>-2.1069427394096917E-16</v>
      </c>
      <c r="U82" s="7">
        <f t="shared" si="26"/>
        <v>-2.1069427394096917E-16</v>
      </c>
      <c r="V82">
        <v>538.43299999999999</v>
      </c>
      <c r="W82">
        <v>539.57899999999995</v>
      </c>
      <c r="X82">
        <v>538.43299999999999</v>
      </c>
      <c r="Y82">
        <v>539.57899999999995</v>
      </c>
      <c r="Z82">
        <v>539.57899999999995</v>
      </c>
      <c r="AA82">
        <v>539.57899999999995</v>
      </c>
      <c r="AB82">
        <v>539.57899999999995</v>
      </c>
      <c r="AC82">
        <v>539.57899999999995</v>
      </c>
      <c r="AD82">
        <v>539.57899999999995</v>
      </c>
      <c r="AE82" s="14">
        <f>Tabla13[[#This Row],[Calculated HEFT_NC]]/Tabla13[[#This Row],[Real HEFT_NC]]</f>
        <v>0.99787057388867684</v>
      </c>
      <c r="AF82" s="14">
        <f>Tabla13[[#This Row],[Calculated HEFT_DNC]]/Tabla13[[#This Row],[Real HEFT_DNC]]</f>
        <v>0.99999444014070138</v>
      </c>
      <c r="AG82" s="14">
        <f>Tabla13[[#This Row],[Calculated GA_NC]]/Tabla13[[#This Row],[Real GA_NC]]</f>
        <v>0.99787057388867662</v>
      </c>
      <c r="AH82" s="15">
        <f>Tabla13[[#This Row],[Calculated GA_DNC]]/Tabla13[[#This Row],[Real GA_DNC]]</f>
        <v>0.99999444014070127</v>
      </c>
      <c r="AI82" s="15">
        <f>Tabla13[[#This Row],[Calculated HGA_(Ph2)]]/Tabla13[[#This Row],[Real HGA_(Ph2)]]</f>
        <v>0.99999444014070127</v>
      </c>
      <c r="AJ82" s="15">
        <f>Tabla13[[#This Row],[Calculated HGA_(Ph1)]]/Tabla13[[#This Row],[Real HGA_(Ph1)]]</f>
        <v>0.99999444014070127</v>
      </c>
      <c r="AK82" s="15">
        <f>Tabla13[[#This Row],[Calculated HGA^H]]/Tabla13[[#This Row],[Real GA^H]]</f>
        <v>0.99999444014070127</v>
      </c>
      <c r="AL82" s="15">
        <f>Tabla13[[#This Row],[Calculated HGA_(Ph2)^H]]/Tabla13[[#This Row],[Real HGA_(Ph2)^H]]</f>
        <v>0.99999444014070127</v>
      </c>
      <c r="AM82" s="15">
        <f>Tabla13[[#This Row],[Calculated HGA_(Ph1)^H]]/Tabla13[[#This Row],[Real HGA_(Ph1)^H]]</f>
        <v>0.99999444014070127</v>
      </c>
      <c r="AU82"/>
      <c r="AV82"/>
      <c r="AW82"/>
    </row>
    <row r="83" spans="1:49">
      <c r="A83" s="6" t="str">
        <f t="shared" si="18"/>
        <v>seismology</v>
      </c>
      <c r="B83" t="s">
        <v>21</v>
      </c>
      <c r="C83">
        <f>_xlfn.XLOOKUP(B83,Instances!$B$2:$B$29,Instances!$A$2:$A$29,,0,1)</f>
        <v>1001</v>
      </c>
      <c r="D83">
        <v>2</v>
      </c>
      <c r="E83">
        <v>270.03399999999999</v>
      </c>
      <c r="F83">
        <v>269.82600000000002</v>
      </c>
      <c r="G83">
        <v>270.00299999999999</v>
      </c>
      <c r="H83">
        <v>269.79969999999997</v>
      </c>
      <c r="I83">
        <v>269.75560000000002</v>
      </c>
      <c r="J83">
        <v>269.81680000000011</v>
      </c>
      <c r="K83">
        <v>269.79910000000001</v>
      </c>
      <c r="L83">
        <v>269.74860000000001</v>
      </c>
      <c r="M83">
        <v>269.81670000000003</v>
      </c>
      <c r="N83" s="13">
        <f t="shared" si="19"/>
        <v>7.7027337298255037E-4</v>
      </c>
      <c r="O83" s="13">
        <f t="shared" si="20"/>
        <v>1.1480035847339932E-4</v>
      </c>
      <c r="P83" s="13">
        <f t="shared" si="21"/>
        <v>8.6766851581659651E-4</v>
      </c>
      <c r="Q83" s="13">
        <f t="shared" si="22"/>
        <v>1.0309812838382442E-3</v>
      </c>
      <c r="R83" s="13">
        <f t="shared" si="23"/>
        <v>8.0434315678721007E-4</v>
      </c>
      <c r="S83" s="13">
        <f t="shared" si="24"/>
        <v>8.6989045823852515E-4</v>
      </c>
      <c r="T83" s="13">
        <f t="shared" si="25"/>
        <v>1.0569039454290255E-3</v>
      </c>
      <c r="U83" s="7">
        <f t="shared" si="26"/>
        <v>8.0471348052454906E-4</v>
      </c>
      <c r="V83">
        <v>269.39299999999997</v>
      </c>
      <c r="W83">
        <v>269.79199999999997</v>
      </c>
      <c r="X83">
        <v>269.39299999999997</v>
      </c>
      <c r="Y83">
        <v>269.76850000000002</v>
      </c>
      <c r="Z83">
        <v>269.72829999999999</v>
      </c>
      <c r="AA83">
        <v>269.78390000000002</v>
      </c>
      <c r="AB83">
        <v>269.76760000000002</v>
      </c>
      <c r="AC83">
        <v>269.72179999999997</v>
      </c>
      <c r="AD83">
        <v>269.78390000000002</v>
      </c>
      <c r="AE83" s="14">
        <f>Tabla13[[#This Row],[Calculated HEFT_NC]]/Tabla13[[#This Row],[Real HEFT_NC]]</f>
        <v>0.99762622484576013</v>
      </c>
      <c r="AF83" s="14">
        <f>Tabla13[[#This Row],[Calculated HEFT_DNC]]/Tabla13[[#This Row],[Real HEFT_DNC]]</f>
        <v>0.99987399286947864</v>
      </c>
      <c r="AG83" s="14">
        <f>Tabla13[[#This Row],[Calculated GA_NC]]/Tabla13[[#This Row],[Real GA_NC]]</f>
        <v>0.99774076584334248</v>
      </c>
      <c r="AH83" s="15">
        <f>Tabla13[[#This Row],[Calculated GA_DNC]]/Tabla13[[#This Row],[Real GA_DNC]]</f>
        <v>0.99988435865569913</v>
      </c>
      <c r="AI83" s="15">
        <f>Tabla13[[#This Row],[Calculated HGA_(Ph2)]]/Tabla13[[#This Row],[Real HGA_(Ph2)]]</f>
        <v>0.99989879728168751</v>
      </c>
      <c r="AJ83" s="15">
        <f>Tabla13[[#This Row],[Calculated HGA_(Ph1)]]/Tabla13[[#This Row],[Real HGA_(Ph1)]]</f>
        <v>0.99987806541327262</v>
      </c>
      <c r="AK83" s="15">
        <f>Tabla13[[#This Row],[Calculated HGA^H]]/Tabla13[[#This Row],[Real GA^H]]</f>
        <v>0.99988324646005122</v>
      </c>
      <c r="AL83" s="15">
        <f>Tabla13[[#This Row],[Calculated HGA_(Ph2)^H]]/Tabla13[[#This Row],[Real HGA_(Ph2)^H]]</f>
        <v>0.99990064823320668</v>
      </c>
      <c r="AM83" s="15">
        <f>Tabla13[[#This Row],[Calculated HGA_(Ph1)^H]]/Tabla13[[#This Row],[Real HGA_(Ph1)^H]]</f>
        <v>0.99987843599006287</v>
      </c>
      <c r="AU83"/>
      <c r="AV83"/>
      <c r="AW83"/>
    </row>
    <row r="84" spans="1:49">
      <c r="A84" s="6" t="str">
        <f t="shared" si="18"/>
        <v>seismology</v>
      </c>
      <c r="B84" t="s">
        <v>21</v>
      </c>
      <c r="C84">
        <f>_xlfn.XLOOKUP(B84,Instances!$B$2:$B$29,Instances!$A$2:$A$29,,0,1)</f>
        <v>1001</v>
      </c>
      <c r="D84">
        <v>4</v>
      </c>
      <c r="E84">
        <v>135.399</v>
      </c>
      <c r="F84">
        <v>135.21700000000001</v>
      </c>
      <c r="G84">
        <v>135.33150000000001</v>
      </c>
      <c r="H84">
        <v>135.22219999999999</v>
      </c>
      <c r="I84">
        <v>135.17179999999999</v>
      </c>
      <c r="J84">
        <v>135.2653</v>
      </c>
      <c r="K84">
        <v>135.20920000000001</v>
      </c>
      <c r="L84">
        <v>135.167</v>
      </c>
      <c r="M84">
        <v>135.21700000000001</v>
      </c>
      <c r="N84" s="13">
        <f t="shared" si="19"/>
        <v>1.3441753631857542E-3</v>
      </c>
      <c r="O84" s="13">
        <f t="shared" si="20"/>
        <v>4.9852657700570505E-4</v>
      </c>
      <c r="P84" s="13">
        <f t="shared" si="21"/>
        <v>1.3057703528092104E-3</v>
      </c>
      <c r="Q84" s="13">
        <f t="shared" si="22"/>
        <v>1.6780035303068006E-3</v>
      </c>
      <c r="R84" s="13">
        <f t="shared" si="23"/>
        <v>9.874519014173265E-4</v>
      </c>
      <c r="S84" s="13">
        <f t="shared" si="24"/>
        <v>1.4017828787508851E-3</v>
      </c>
      <c r="T84" s="13">
        <f t="shared" si="25"/>
        <v>1.713454309116015E-3</v>
      </c>
      <c r="U84" s="7">
        <f t="shared" si="26"/>
        <v>1.3441753631857542E-3</v>
      </c>
      <c r="V84">
        <v>134.94200000000001</v>
      </c>
      <c r="W84">
        <v>135.173</v>
      </c>
      <c r="X84">
        <v>134.88820000000001</v>
      </c>
      <c r="Y84">
        <v>135.17910000000001</v>
      </c>
      <c r="Z84">
        <v>135.13120000000001</v>
      </c>
      <c r="AA84">
        <v>135.22300000000001</v>
      </c>
      <c r="AB84">
        <v>135.16589999999999</v>
      </c>
      <c r="AC84">
        <v>135.1267</v>
      </c>
      <c r="AD84">
        <v>135.173</v>
      </c>
      <c r="AE84" s="14">
        <f>Tabla13[[#This Row],[Calculated HEFT_NC]]/Tabla13[[#This Row],[Real HEFT_NC]]</f>
        <v>0.99662479043419827</v>
      </c>
      <c r="AF84" s="14">
        <f>Tabla13[[#This Row],[Calculated HEFT_DNC]]/Tabla13[[#This Row],[Real HEFT_DNC]]</f>
        <v>0.99967459712905915</v>
      </c>
      <c r="AG84" s="14">
        <f>Tabla13[[#This Row],[Calculated GA_NC]]/Tabla13[[#This Row],[Real GA_NC]]</f>
        <v>0.99672433986174691</v>
      </c>
      <c r="AH84" s="15">
        <f>Tabla13[[#This Row],[Calculated GA_DNC]]/Tabla13[[#This Row],[Real GA_DNC]]</f>
        <v>0.99968126535435764</v>
      </c>
      <c r="AI84" s="15">
        <f>Tabla13[[#This Row],[Calculated HGA_(Ph2)]]/Tabla13[[#This Row],[Real HGA_(Ph2)]]</f>
        <v>0.99969964149327017</v>
      </c>
      <c r="AJ84" s="15">
        <f>Tabla13[[#This Row],[Calculated HGA_(Ph1)]]/Tabla13[[#This Row],[Real HGA_(Ph1)]]</f>
        <v>0.99968728121698625</v>
      </c>
      <c r="AK84" s="15">
        <f>Tabla13[[#This Row],[Calculated HGA^H]]/Tabla13[[#This Row],[Real GA^H]]</f>
        <v>0.99967975551959465</v>
      </c>
      <c r="AL84" s="15">
        <f>Tabla13[[#This Row],[Calculated HGA_(Ph2)^H]]/Tabla13[[#This Row],[Real HGA_(Ph2)^H]]</f>
        <v>0.9997018503036984</v>
      </c>
      <c r="AM84" s="15">
        <f>Tabla13[[#This Row],[Calculated HGA_(Ph1)^H]]/Tabla13[[#This Row],[Real HGA_(Ph1)^H]]</f>
        <v>0.99967459712905915</v>
      </c>
      <c r="AU84"/>
      <c r="AV84"/>
      <c r="AW84"/>
    </row>
    <row r="85" spans="1:49">
      <c r="A85" s="6" t="str">
        <f t="shared" si="18"/>
        <v>seismology</v>
      </c>
      <c r="B85" t="s">
        <v>21</v>
      </c>
      <c r="C85">
        <f>_xlfn.XLOOKUP(B85,Instances!$B$2:$B$29,Instances!$A$2:$A$29,,0,1)</f>
        <v>1001</v>
      </c>
      <c r="D85">
        <v>8</v>
      </c>
      <c r="E85">
        <v>68.059399999999997</v>
      </c>
      <c r="F85">
        <v>67.975499999999997</v>
      </c>
      <c r="G85">
        <v>68.001620000000003</v>
      </c>
      <c r="H85">
        <v>67.943100000000001</v>
      </c>
      <c r="I85">
        <v>67.883700000000005</v>
      </c>
      <c r="J85">
        <v>68.154020000000003</v>
      </c>
      <c r="K85">
        <v>67.929940000000016</v>
      </c>
      <c r="L85">
        <v>67.873950000000008</v>
      </c>
      <c r="M85">
        <v>67.972909999999999</v>
      </c>
      <c r="N85" s="13">
        <f t="shared" si="19"/>
        <v>1.2327466889217342E-3</v>
      </c>
      <c r="O85" s="13">
        <f t="shared" si="20"/>
        <v>8.4896428707855126E-4</v>
      </c>
      <c r="P85" s="13">
        <f t="shared" si="21"/>
        <v>1.7088014293395978E-3</v>
      </c>
      <c r="Q85" s="13">
        <f t="shared" si="22"/>
        <v>2.5815684534390838E-3</v>
      </c>
      <c r="R85" s="13">
        <f t="shared" si="23"/>
        <v>-1.3902561585909684E-3</v>
      </c>
      <c r="S85" s="13">
        <f t="shared" si="24"/>
        <v>1.9021619350153009E-3</v>
      </c>
      <c r="T85" s="13">
        <f t="shared" si="25"/>
        <v>2.7248256669907289E-3</v>
      </c>
      <c r="U85" s="7">
        <f t="shared" si="26"/>
        <v>1.2708016820600495E-3</v>
      </c>
      <c r="V85">
        <v>67.691999999999993</v>
      </c>
      <c r="W85">
        <v>67.926900000000018</v>
      </c>
      <c r="X85">
        <v>67.655209999999997</v>
      </c>
      <c r="Y85">
        <v>67.894599999999997</v>
      </c>
      <c r="Z85">
        <v>67.837120000000013</v>
      </c>
      <c r="AA85">
        <v>68.105260000000015</v>
      </c>
      <c r="AB85">
        <v>67.881350000000012</v>
      </c>
      <c r="AC85">
        <v>67.827330000000003</v>
      </c>
      <c r="AD85">
        <v>67.924130000000005</v>
      </c>
      <c r="AE85" s="14">
        <f>Tabla13[[#This Row],[Calculated HEFT_NC]]/Tabla13[[#This Row],[Real HEFT_NC]]</f>
        <v>0.99460177433242136</v>
      </c>
      <c r="AF85" s="14">
        <f>Tabla13[[#This Row],[Calculated HEFT_DNC]]/Tabla13[[#This Row],[Real HEFT_DNC]]</f>
        <v>0.99928503652051137</v>
      </c>
      <c r="AG85" s="14">
        <f>Tabla13[[#This Row],[Calculated GA_NC]]/Tabla13[[#This Row],[Real GA_NC]]</f>
        <v>0.99490585665459141</v>
      </c>
      <c r="AH85" s="15">
        <f>Tabla13[[#This Row],[Calculated GA_DNC]]/Tabla13[[#This Row],[Real GA_DNC]]</f>
        <v>0.99928616739595333</v>
      </c>
      <c r="AI85" s="15">
        <f>Tabla13[[#This Row],[Calculated HGA_(Ph2)]]/Tabla13[[#This Row],[Real HGA_(Ph2)]]</f>
        <v>0.99931382644139921</v>
      </c>
      <c r="AJ85" s="15">
        <f>Tabla13[[#This Row],[Calculated HGA_(Ph1)]]/Tabla13[[#This Row],[Real HGA_(Ph1)]]</f>
        <v>0.99928456164434631</v>
      </c>
      <c r="AK85" s="15">
        <f>Tabla13[[#This Row],[Calculated HGA^H]]/Tabla13[[#This Row],[Real GA^H]]</f>
        <v>0.99928470421142723</v>
      </c>
      <c r="AL85" s="15">
        <f>Tabla13[[#This Row],[Calculated HGA_(Ph2)^H]]/Tabla13[[#This Row],[Real HGA_(Ph2)^H]]</f>
        <v>0.99931313854578963</v>
      </c>
      <c r="AM85" s="15">
        <f>Tabla13[[#This Row],[Calculated HGA_(Ph1)^H]]/Tabla13[[#This Row],[Real HGA_(Ph1)^H]]</f>
        <v>0.99928236116417568</v>
      </c>
      <c r="AU85"/>
      <c r="AV85"/>
      <c r="AW85"/>
    </row>
    <row r="86" spans="1:49">
      <c r="A86" s="6" t="str">
        <f t="shared" si="18"/>
        <v>seismology</v>
      </c>
      <c r="B86" t="s">
        <v>21</v>
      </c>
      <c r="C86">
        <f>_xlfn.XLOOKUP(B86,Instances!$B$2:$B$29,Instances!$A$2:$A$29,,0,1)</f>
        <v>1001</v>
      </c>
      <c r="D86">
        <v>16</v>
      </c>
      <c r="E86">
        <v>34.345199999999998</v>
      </c>
      <c r="F86">
        <v>34.2821</v>
      </c>
      <c r="G86">
        <v>34.36251</v>
      </c>
      <c r="H86">
        <v>34.319650000000003</v>
      </c>
      <c r="I86">
        <v>34.271160000000002</v>
      </c>
      <c r="J86">
        <v>34.951659999999997</v>
      </c>
      <c r="K86">
        <v>34.281529999999997</v>
      </c>
      <c r="L86">
        <v>34.22681</v>
      </c>
      <c r="M86">
        <v>34.2821</v>
      </c>
      <c r="N86" s="13">
        <f t="shared" si="19"/>
        <v>1.8372290742228493E-3</v>
      </c>
      <c r="O86" s="13">
        <f t="shared" si="20"/>
        <v>-5.0400055903013913E-4</v>
      </c>
      <c r="P86" s="13">
        <f t="shared" si="21"/>
        <v>7.4391763623433613E-4</v>
      </c>
      <c r="Q86" s="13">
        <f t="shared" si="22"/>
        <v>2.1557597568218137E-3</v>
      </c>
      <c r="R86" s="13">
        <f t="shared" si="23"/>
        <v>-1.7657780417642013E-2</v>
      </c>
      <c r="S86" s="13">
        <f t="shared" si="24"/>
        <v>1.8538252798062582E-3</v>
      </c>
      <c r="T86" s="13">
        <f t="shared" si="25"/>
        <v>3.4470610158041882E-3</v>
      </c>
      <c r="U86" s="7">
        <f t="shared" si="26"/>
        <v>1.8372290742228493E-3</v>
      </c>
      <c r="V86">
        <v>34.027000000000001</v>
      </c>
      <c r="W86">
        <v>34.23129999999999</v>
      </c>
      <c r="X86">
        <v>34.06935</v>
      </c>
      <c r="Y86">
        <v>34.26849</v>
      </c>
      <c r="Z86">
        <v>34.221730000000001</v>
      </c>
      <c r="AA86">
        <v>34.900329999999997</v>
      </c>
      <c r="AB86">
        <v>34.23077</v>
      </c>
      <c r="AC86">
        <v>34.177010000000003</v>
      </c>
      <c r="AD86">
        <v>34.23129999999999</v>
      </c>
      <c r="AE86" s="14">
        <f>Tabla13[[#This Row],[Calculated HEFT_NC]]/Tabla13[[#This Row],[Real HEFT_NC]]</f>
        <v>0.99073524102349098</v>
      </c>
      <c r="AF86" s="14">
        <f>Tabla13[[#This Row],[Calculated HEFT_DNC]]/Tabla13[[#This Row],[Real HEFT_DNC]]</f>
        <v>0.99851817712450497</v>
      </c>
      <c r="AG86" s="14">
        <f>Tabla13[[#This Row],[Calculated GA_NC]]/Tabla13[[#This Row],[Real GA_NC]]</f>
        <v>0.99146860924885871</v>
      </c>
      <c r="AH86" s="15">
        <f>Tabla13[[#This Row],[Calculated GA_DNC]]/Tabla13[[#This Row],[Real GA_DNC]]</f>
        <v>0.99850930880705357</v>
      </c>
      <c r="AI86" s="15">
        <f>Tabla13[[#This Row],[Calculated HGA_(Ph2)]]/Tabla13[[#This Row],[Real HGA_(Ph2)]]</f>
        <v>0.99855767940157258</v>
      </c>
      <c r="AJ86" s="15">
        <f>Tabla13[[#This Row],[Calculated HGA_(Ph1)]]/Tabla13[[#This Row],[Real HGA_(Ph1)]]</f>
        <v>0.99853140022533982</v>
      </c>
      <c r="AK86" s="15">
        <f>Tabla13[[#This Row],[Calculated HGA^H]]/Tabla13[[#This Row],[Real GA^H]]</f>
        <v>0.99851931929525906</v>
      </c>
      <c r="AL86" s="15">
        <f>Tabla13[[#This Row],[Calculated HGA_(Ph2)^H]]/Tabla13[[#This Row],[Real HGA_(Ph2)^H]]</f>
        <v>0.99854500024980419</v>
      </c>
      <c r="AM86" s="15">
        <f>Tabla13[[#This Row],[Calculated HGA_(Ph1)^H]]/Tabla13[[#This Row],[Real HGA_(Ph1)^H]]</f>
        <v>0.99851817712450497</v>
      </c>
      <c r="AU86"/>
      <c r="AV86"/>
      <c r="AW86"/>
    </row>
    <row r="87" spans="1:49">
      <c r="A87" s="6" t="str">
        <f t="shared" si="18"/>
        <v>seismology</v>
      </c>
      <c r="B87" t="s">
        <v>18</v>
      </c>
      <c r="C87">
        <f>_xlfn.XLOOKUP(B87,Instances!$B$2:$B$29,Instances!$A$2:$A$29,,0,1)</f>
        <v>101</v>
      </c>
      <c r="D87">
        <v>1</v>
      </c>
      <c r="E87">
        <v>72.003200000000007</v>
      </c>
      <c r="F87">
        <v>72.003200000000007</v>
      </c>
      <c r="G87">
        <v>72.003200000000007</v>
      </c>
      <c r="H87">
        <v>72.003200000000007</v>
      </c>
      <c r="I87">
        <v>72.003200000000007</v>
      </c>
      <c r="J87">
        <v>72.003200000000007</v>
      </c>
      <c r="K87">
        <v>72.003200000000007</v>
      </c>
      <c r="L87">
        <v>72.003200000000007</v>
      </c>
      <c r="M87">
        <v>72.003200000000007</v>
      </c>
      <c r="N87" s="13">
        <f t="shared" si="19"/>
        <v>0</v>
      </c>
      <c r="O87" s="13">
        <f t="shared" si="20"/>
        <v>0</v>
      </c>
      <c r="P87" s="13">
        <f t="shared" si="21"/>
        <v>0</v>
      </c>
      <c r="Q87" s="13">
        <f t="shared" si="22"/>
        <v>0</v>
      </c>
      <c r="R87" s="13">
        <f t="shared" si="23"/>
        <v>0</v>
      </c>
      <c r="S87" s="13">
        <f t="shared" si="24"/>
        <v>0</v>
      </c>
      <c r="T87" s="13">
        <f t="shared" si="25"/>
        <v>0</v>
      </c>
      <c r="U87" s="7">
        <f t="shared" si="26"/>
        <v>0</v>
      </c>
      <c r="V87">
        <v>71.893000000000001</v>
      </c>
      <c r="W87">
        <v>72.002899999999983</v>
      </c>
      <c r="X87">
        <v>71.893000000000001</v>
      </c>
      <c r="Y87">
        <v>72.002899999999983</v>
      </c>
      <c r="Z87">
        <v>72.002899999999983</v>
      </c>
      <c r="AA87">
        <v>72.002899999999983</v>
      </c>
      <c r="AB87">
        <v>72.002899999999983</v>
      </c>
      <c r="AC87">
        <v>72.002899999999983</v>
      </c>
      <c r="AD87">
        <v>72.002899999999983</v>
      </c>
      <c r="AE87" s="14">
        <f>Tabla13[[#This Row],[Calculated HEFT_NC]]/Tabla13[[#This Row],[Real HEFT_NC]]</f>
        <v>0.99846951246611249</v>
      </c>
      <c r="AF87" s="14">
        <f>Tabla13[[#This Row],[Calculated HEFT_DNC]]/Tabla13[[#This Row],[Real HEFT_DNC]]</f>
        <v>0.99999583351850996</v>
      </c>
      <c r="AG87" s="14">
        <f>Tabla13[[#This Row],[Calculated GA_NC]]/Tabla13[[#This Row],[Real GA_NC]]</f>
        <v>0.99846951246611249</v>
      </c>
      <c r="AH87" s="15">
        <f>Tabla13[[#This Row],[Calculated GA_DNC]]/Tabla13[[#This Row],[Real GA_DNC]]</f>
        <v>0.99999583351850996</v>
      </c>
      <c r="AI87" s="15">
        <f>Tabla13[[#This Row],[Calculated HGA_(Ph2)]]/Tabla13[[#This Row],[Real HGA_(Ph2)]]</f>
        <v>0.99999583351850996</v>
      </c>
      <c r="AJ87" s="15">
        <f>Tabla13[[#This Row],[Calculated HGA_(Ph1)]]/Tabla13[[#This Row],[Real HGA_(Ph1)]]</f>
        <v>0.99999583351850996</v>
      </c>
      <c r="AK87" s="15">
        <f>Tabla13[[#This Row],[Calculated HGA^H]]/Tabla13[[#This Row],[Real GA^H]]</f>
        <v>0.99999583351850996</v>
      </c>
      <c r="AL87" s="15">
        <f>Tabla13[[#This Row],[Calculated HGA_(Ph2)^H]]/Tabla13[[#This Row],[Real HGA_(Ph2)^H]]</f>
        <v>0.99999583351850996</v>
      </c>
      <c r="AM87" s="15">
        <f>Tabla13[[#This Row],[Calculated HGA_(Ph1)^H]]/Tabla13[[#This Row],[Real HGA_(Ph1)^H]]</f>
        <v>0.99999583351850996</v>
      </c>
      <c r="AU87"/>
      <c r="AV87"/>
      <c r="AW87"/>
    </row>
    <row r="88" spans="1:49">
      <c r="A88" s="6" t="str">
        <f t="shared" si="18"/>
        <v>seismology</v>
      </c>
      <c r="B88" t="s">
        <v>18</v>
      </c>
      <c r="C88">
        <f>_xlfn.XLOOKUP(B88,Instances!$B$2:$B$29,Instances!$A$2:$A$29,,0,1)</f>
        <v>101</v>
      </c>
      <c r="D88">
        <v>2</v>
      </c>
      <c r="E88">
        <v>36.054499999999997</v>
      </c>
      <c r="F88">
        <v>36.031599999999997</v>
      </c>
      <c r="G88">
        <v>36.052489999999999</v>
      </c>
      <c r="H88">
        <v>36.027839999999998</v>
      </c>
      <c r="I88">
        <v>36.022700000000007</v>
      </c>
      <c r="J88">
        <v>36.030250000000002</v>
      </c>
      <c r="K88">
        <v>36.027700000000003</v>
      </c>
      <c r="L88">
        <v>36.02187</v>
      </c>
      <c r="M88">
        <v>36.02991999999999</v>
      </c>
      <c r="N88" s="13">
        <f t="shared" si="19"/>
        <v>6.3514956524150725E-4</v>
      </c>
      <c r="O88" s="13">
        <f t="shared" si="20"/>
        <v>5.5748935639060677E-5</v>
      </c>
      <c r="P88" s="13">
        <f t="shared" si="21"/>
        <v>7.3943613141215893E-4</v>
      </c>
      <c r="Q88" s="13">
        <f t="shared" si="22"/>
        <v>8.8199808623028576E-4</v>
      </c>
      <c r="R88" s="13">
        <f t="shared" si="23"/>
        <v>6.7259288022285702E-4</v>
      </c>
      <c r="S88" s="13">
        <f t="shared" si="24"/>
        <v>7.4331914185453646E-4</v>
      </c>
      <c r="T88" s="13">
        <f t="shared" si="25"/>
        <v>9.0501879099689347E-4</v>
      </c>
      <c r="U88" s="7">
        <f t="shared" si="26"/>
        <v>6.8174569055200814E-4</v>
      </c>
      <c r="V88">
        <v>35.991</v>
      </c>
      <c r="W88">
        <v>36.028500000000001</v>
      </c>
      <c r="X88">
        <v>35.991</v>
      </c>
      <c r="Y88">
        <v>36.025069999999999</v>
      </c>
      <c r="Z88">
        <v>36.02037</v>
      </c>
      <c r="AA88">
        <v>36.027230000000003</v>
      </c>
      <c r="AB88">
        <v>36.024889999999999</v>
      </c>
      <c r="AC88">
        <v>36.019550000000002</v>
      </c>
      <c r="AD88">
        <v>36.026960000000003</v>
      </c>
      <c r="AE88" s="14">
        <f>Tabla13[[#This Row],[Calculated HEFT_NC]]/Tabla13[[#This Row],[Real HEFT_NC]]</f>
        <v>0.99823877740642641</v>
      </c>
      <c r="AF88" s="14">
        <f>Tabla13[[#This Row],[Calculated HEFT_DNC]]/Tabla13[[#This Row],[Real HEFT_DNC]]</f>
        <v>0.99991396440901881</v>
      </c>
      <c r="AG88" s="14">
        <f>Tabla13[[#This Row],[Calculated GA_NC]]/Tabla13[[#This Row],[Real GA_NC]]</f>
        <v>0.99829443125842354</v>
      </c>
      <c r="AH88" s="15">
        <f>Tabla13[[#This Row],[Calculated GA_DNC]]/Tabla13[[#This Row],[Real GA_DNC]]</f>
        <v>0.99992311501327868</v>
      </c>
      <c r="AI88" s="15">
        <f>Tabla13[[#This Row],[Calculated HGA_(Ph2)]]/Tabla13[[#This Row],[Real HGA_(Ph2)]]</f>
        <v>0.99993531856301698</v>
      </c>
      <c r="AJ88" s="15">
        <f>Tabla13[[#This Row],[Calculated HGA_(Ph1)]]/Tabla13[[#This Row],[Real HGA_(Ph1)]]</f>
        <v>0.99991618154189887</v>
      </c>
      <c r="AK88" s="15">
        <f>Tabla13[[#This Row],[Calculated HGA^H]]/Tabla13[[#This Row],[Real GA^H]]</f>
        <v>0.99992200445768109</v>
      </c>
      <c r="AL88" s="15">
        <f>Tabla13[[#This Row],[Calculated HGA_(Ph2)^H]]/Tabla13[[#This Row],[Real HGA_(Ph2)^H]]</f>
        <v>0.99993559468178639</v>
      </c>
      <c r="AM88" s="15">
        <f>Tabla13[[#This Row],[Calculated HGA_(Ph1)^H]]/Tabla13[[#This Row],[Real HGA_(Ph1)^H]]</f>
        <v>0.99991784605683309</v>
      </c>
      <c r="AU88"/>
      <c r="AV88"/>
      <c r="AW88"/>
    </row>
    <row r="89" spans="1:49">
      <c r="A89" s="6" t="str">
        <f t="shared" si="18"/>
        <v>seismology</v>
      </c>
      <c r="B89" t="s">
        <v>18</v>
      </c>
      <c r="C89">
        <f>_xlfn.XLOOKUP(B89,Instances!$B$2:$B$29,Instances!$A$2:$A$29,,0,1)</f>
        <v>101</v>
      </c>
      <c r="D89">
        <v>4</v>
      </c>
      <c r="E89">
        <v>18.0853</v>
      </c>
      <c r="F89">
        <v>18.073799999999999</v>
      </c>
      <c r="G89">
        <v>18.093029999999999</v>
      </c>
      <c r="H89">
        <v>18.092300000000002</v>
      </c>
      <c r="I89">
        <v>18.069089999999999</v>
      </c>
      <c r="J89">
        <v>18.097619999999999</v>
      </c>
      <c r="K89">
        <v>18.07311</v>
      </c>
      <c r="L89">
        <v>18.067029999999999</v>
      </c>
      <c r="M89">
        <v>18.073799999999999</v>
      </c>
      <c r="N89" s="13">
        <f t="shared" si="19"/>
        <v>6.3587554533248657E-4</v>
      </c>
      <c r="O89" s="13">
        <f t="shared" si="20"/>
        <v>-4.2741895351466013E-4</v>
      </c>
      <c r="P89" s="13">
        <f t="shared" si="21"/>
        <v>-3.8705467976762615E-4</v>
      </c>
      <c r="Q89" s="13">
        <f t="shared" si="22"/>
        <v>8.9630805129032676E-4</v>
      </c>
      <c r="R89" s="13">
        <f t="shared" si="23"/>
        <v>-6.8121623639082565E-4</v>
      </c>
      <c r="S89" s="13">
        <f t="shared" si="24"/>
        <v>6.7402807805236114E-4</v>
      </c>
      <c r="T89" s="13">
        <f t="shared" si="25"/>
        <v>1.0102127141933569E-3</v>
      </c>
      <c r="U89" s="7">
        <f t="shared" si="26"/>
        <v>6.3587554533248657E-4</v>
      </c>
      <c r="V89">
        <v>18.042999999999999</v>
      </c>
      <c r="W89">
        <v>18.069700000000001</v>
      </c>
      <c r="X89">
        <v>18.055499999999999</v>
      </c>
      <c r="Y89">
        <v>18.088190000000001</v>
      </c>
      <c r="Z89">
        <v>18.06531</v>
      </c>
      <c r="AA89">
        <v>18.09355</v>
      </c>
      <c r="AB89">
        <v>18.06898</v>
      </c>
      <c r="AC89">
        <v>18.063279999999999</v>
      </c>
      <c r="AD89">
        <v>18.069700000000001</v>
      </c>
      <c r="AE89" s="14">
        <f>Tabla13[[#This Row],[Calculated HEFT_NC]]/Tabla13[[#This Row],[Real HEFT_NC]]</f>
        <v>0.99766108386369035</v>
      </c>
      <c r="AF89" s="14">
        <f>Tabla13[[#This Row],[Calculated HEFT_DNC]]/Tabla13[[#This Row],[Real HEFT_DNC]]</f>
        <v>0.99977315229780139</v>
      </c>
      <c r="AG89" s="14">
        <f>Tabla13[[#This Row],[Calculated GA_NC]]/Tabla13[[#This Row],[Real GA_NC]]</f>
        <v>0.99792572056753348</v>
      </c>
      <c r="AH89" s="15">
        <f>Tabla13[[#This Row],[Calculated GA_DNC]]/Tabla13[[#This Row],[Real GA_DNC]]</f>
        <v>0.99977283153606777</v>
      </c>
      <c r="AI89" s="15">
        <f>Tabla13[[#This Row],[Calculated HGA_(Ph2)]]/Tabla13[[#This Row],[Real HGA_(Ph2)]]</f>
        <v>0.99979080296794143</v>
      </c>
      <c r="AJ89" s="15">
        <f>Tabla13[[#This Row],[Calculated HGA_(Ph1)]]/Tabla13[[#This Row],[Real HGA_(Ph1)]]</f>
        <v>0.99977510855018514</v>
      </c>
      <c r="AK89" s="15">
        <f>Tabla13[[#This Row],[Calculated HGA^H]]/Tabla13[[#This Row],[Real GA^H]]</f>
        <v>0.9997714837125431</v>
      </c>
      <c r="AL89" s="15">
        <f>Tabla13[[#This Row],[Calculated HGA_(Ph2)^H]]/Tabla13[[#This Row],[Real HGA_(Ph2)^H]]</f>
        <v>0.99979243959853947</v>
      </c>
      <c r="AM89" s="15">
        <f>Tabla13[[#This Row],[Calculated HGA_(Ph1)^H]]/Tabla13[[#This Row],[Real HGA_(Ph1)^H]]</f>
        <v>0.99977315229780139</v>
      </c>
      <c r="AU89"/>
      <c r="AV89"/>
      <c r="AW89"/>
    </row>
    <row r="90" spans="1:49">
      <c r="A90" s="6" t="str">
        <f t="shared" si="18"/>
        <v>seismology</v>
      </c>
      <c r="B90" t="s">
        <v>18</v>
      </c>
      <c r="C90">
        <f>_xlfn.XLOOKUP(B90,Instances!$B$2:$B$29,Instances!$A$2:$A$29,,0,1)</f>
        <v>101</v>
      </c>
      <c r="D90">
        <v>8</v>
      </c>
      <c r="E90">
        <v>9.1649899999999995</v>
      </c>
      <c r="F90">
        <v>9.1552699999999998</v>
      </c>
      <c r="G90">
        <v>9.1396680000000003</v>
      </c>
      <c r="H90">
        <v>9.1307409999999987</v>
      </c>
      <c r="I90">
        <v>9.093436999999998</v>
      </c>
      <c r="J90">
        <v>9.2722989999999985</v>
      </c>
      <c r="K90">
        <v>9.1286759999999987</v>
      </c>
      <c r="L90">
        <v>9.0906339999999997</v>
      </c>
      <c r="M90">
        <v>9.1504909999999988</v>
      </c>
      <c r="N90" s="13">
        <f t="shared" si="19"/>
        <v>1.0605576219941024E-3</v>
      </c>
      <c r="O90" s="13">
        <f t="shared" si="20"/>
        <v>2.7629053605076688E-3</v>
      </c>
      <c r="P90" s="13">
        <f t="shared" si="21"/>
        <v>3.7369380653989653E-3</v>
      </c>
      <c r="Q90" s="13">
        <f t="shared" si="22"/>
        <v>7.807209827834131E-3</v>
      </c>
      <c r="R90" s="13">
        <f t="shared" si="23"/>
        <v>-1.1708577968988399E-2</v>
      </c>
      <c r="S90" s="13">
        <f t="shared" si="24"/>
        <v>3.9622520046394862E-3</v>
      </c>
      <c r="T90" s="13">
        <f t="shared" si="25"/>
        <v>8.1130475865221745E-3</v>
      </c>
      <c r="U90" s="7">
        <f t="shared" si="26"/>
        <v>1.5819984528079906E-3</v>
      </c>
      <c r="V90">
        <v>9.1280400000000004</v>
      </c>
      <c r="W90">
        <v>9.15062</v>
      </c>
      <c r="X90">
        <v>9.1119080000000015</v>
      </c>
      <c r="Y90">
        <v>9.1261259999999993</v>
      </c>
      <c r="Z90">
        <v>9.0890190000000004</v>
      </c>
      <c r="AA90">
        <v>9.2675979999999996</v>
      </c>
      <c r="AB90">
        <v>9.1240439999999996</v>
      </c>
      <c r="AC90">
        <v>9.0861899999999984</v>
      </c>
      <c r="AD90">
        <v>9.1458220000000008</v>
      </c>
      <c r="AE90" s="14">
        <f>Tabla13[[#This Row],[Calculated HEFT_NC]]/Tabla13[[#This Row],[Real HEFT_NC]]</f>
        <v>0.99596835348429191</v>
      </c>
      <c r="AF90" s="14">
        <f>Tabla13[[#This Row],[Calculated HEFT_DNC]]/Tabla13[[#This Row],[Real HEFT_DNC]]</f>
        <v>0.99949209580929887</v>
      </c>
      <c r="AG90" s="14">
        <f>Tabla13[[#This Row],[Calculated GA_NC]]/Tabla13[[#This Row],[Real GA_NC]]</f>
        <v>0.99696269054849707</v>
      </c>
      <c r="AH90" s="15">
        <f>Tabla13[[#This Row],[Calculated GA_DNC]]/Tabla13[[#This Row],[Real GA_DNC]]</f>
        <v>0.99949456457038921</v>
      </c>
      <c r="AI90" s="15">
        <f>Tabla13[[#This Row],[Calculated HGA_(Ph2)]]/Tabla13[[#This Row],[Real HGA_(Ph2)]]</f>
        <v>0.99951415509889197</v>
      </c>
      <c r="AJ90" s="15">
        <f>Tabla13[[#This Row],[Calculated HGA_(Ph1)]]/Tabla13[[#This Row],[Real HGA_(Ph1)]]</f>
        <v>0.99949300599560054</v>
      </c>
      <c r="AK90" s="15">
        <f>Tabla13[[#This Row],[Calculated HGA^H]]/Tabla13[[#This Row],[Real GA^H]]</f>
        <v>0.99949258797223173</v>
      </c>
      <c r="AL90" s="15">
        <f>Tabla13[[#This Row],[Calculated HGA_(Ph2)^H]]/Tabla13[[#This Row],[Real HGA_(Ph2)^H]]</f>
        <v>0.99951114520725381</v>
      </c>
      <c r="AM90" s="15">
        <f>Tabla13[[#This Row],[Calculated HGA_(Ph1)^H]]/Tabla13[[#This Row],[Real HGA_(Ph1)^H]]</f>
        <v>0.99948975415636188</v>
      </c>
      <c r="AU90"/>
      <c r="AV90"/>
      <c r="AW90"/>
    </row>
    <row r="91" spans="1:49">
      <c r="A91" s="6" t="str">
        <f t="shared" si="18"/>
        <v>seismology</v>
      </c>
      <c r="B91" t="s">
        <v>18</v>
      </c>
      <c r="C91">
        <f>_xlfn.XLOOKUP(B91,Instances!$B$2:$B$29,Instances!$A$2:$A$29,,0,1)</f>
        <v>101</v>
      </c>
      <c r="D91">
        <v>16</v>
      </c>
      <c r="E91">
        <v>4.6588500000000002</v>
      </c>
      <c r="F91">
        <v>4.6552199999999999</v>
      </c>
      <c r="G91">
        <v>4.7797780000000003</v>
      </c>
      <c r="H91">
        <v>4.723059000000001</v>
      </c>
      <c r="I91">
        <v>4.623367</v>
      </c>
      <c r="J91">
        <v>4.8836659999999998</v>
      </c>
      <c r="K91">
        <v>4.6548410000000002</v>
      </c>
      <c r="L91">
        <v>4.6046369999999994</v>
      </c>
      <c r="M91">
        <v>4.6552199999999999</v>
      </c>
      <c r="N91" s="13">
        <f t="shared" si="19"/>
        <v>7.7916223960853941E-4</v>
      </c>
      <c r="O91" s="13">
        <f t="shared" si="20"/>
        <v>-2.5956620195971138E-2</v>
      </c>
      <c r="P91" s="13">
        <f t="shared" si="21"/>
        <v>-1.3782156540777413E-2</v>
      </c>
      <c r="Q91" s="13">
        <f t="shared" si="22"/>
        <v>7.616257230861726E-3</v>
      </c>
      <c r="R91" s="13">
        <f t="shared" si="23"/>
        <v>-4.8255685415928756E-2</v>
      </c>
      <c r="S91" s="13">
        <f t="shared" si="24"/>
        <v>8.605127874904599E-4</v>
      </c>
      <c r="T91" s="13">
        <f t="shared" si="25"/>
        <v>1.1636562671045587E-2</v>
      </c>
      <c r="U91" s="7">
        <f t="shared" si="26"/>
        <v>7.7916223960853941E-4</v>
      </c>
      <c r="V91">
        <v>4.62704</v>
      </c>
      <c r="W91">
        <v>4.6501400000000004</v>
      </c>
      <c r="X91">
        <v>4.7527290000000004</v>
      </c>
      <c r="Y91">
        <v>4.718318</v>
      </c>
      <c r="Z91">
        <v>4.6186939999999996</v>
      </c>
      <c r="AA91">
        <v>4.8787540000000007</v>
      </c>
      <c r="AB91">
        <v>4.6497640000000002</v>
      </c>
      <c r="AC91">
        <v>4.5999120000000007</v>
      </c>
      <c r="AD91">
        <v>4.6501400000000004</v>
      </c>
      <c r="AE91" s="14">
        <f>Tabla13[[#This Row],[Calculated HEFT_NC]]/Tabla13[[#This Row],[Real HEFT_NC]]</f>
        <v>0.99317213475428479</v>
      </c>
      <c r="AF91" s="14">
        <f>Tabla13[[#This Row],[Calculated HEFT_DNC]]/Tabla13[[#This Row],[Real HEFT_DNC]]</f>
        <v>0.99890875189572148</v>
      </c>
      <c r="AG91" s="14">
        <f>Tabla13[[#This Row],[Calculated GA_NC]]/Tabla13[[#This Row],[Real GA_NC]]</f>
        <v>0.994340950562976</v>
      </c>
      <c r="AH91" s="15">
        <f>Tabla13[[#This Row],[Calculated GA_DNC]]/Tabla13[[#This Row],[Real GA_DNC]]</f>
        <v>0.99899620140252299</v>
      </c>
      <c r="AI91" s="15">
        <f>Tabla13[[#This Row],[Calculated HGA_(Ph2)]]/Tabla13[[#This Row],[Real HGA_(Ph2)]]</f>
        <v>0.99898926475012684</v>
      </c>
      <c r="AJ91" s="15">
        <f>Tabla13[[#This Row],[Calculated HGA_(Ph1)]]/Tabla13[[#This Row],[Real HGA_(Ph1)]]</f>
        <v>0.99899419821093438</v>
      </c>
      <c r="AK91" s="15">
        <f>Tabla13[[#This Row],[Calculated HGA^H]]/Tabla13[[#This Row],[Real GA^H]]</f>
        <v>0.99890930753596097</v>
      </c>
      <c r="AL91" s="15">
        <f>Tabla13[[#This Row],[Calculated HGA_(Ph2)^H]]/Tabla13[[#This Row],[Real HGA_(Ph2)^H]]</f>
        <v>0.99897386048020753</v>
      </c>
      <c r="AM91" s="15">
        <f>Tabla13[[#This Row],[Calculated HGA_(Ph1)^H]]/Tabla13[[#This Row],[Real HGA_(Ph1)^H]]</f>
        <v>0.99890875189572148</v>
      </c>
      <c r="AU91"/>
      <c r="AV91"/>
      <c r="AW91"/>
    </row>
    <row r="92" spans="1:49">
      <c r="A92" s="6" t="str">
        <f t="shared" si="18"/>
        <v>seismology</v>
      </c>
      <c r="B92" t="s">
        <v>19</v>
      </c>
      <c r="C92">
        <f>_xlfn.XLOOKUP(B92,Instances!$B$2:$B$29,Instances!$A$2:$A$29,,0,1)</f>
        <v>501</v>
      </c>
      <c r="D92">
        <v>1</v>
      </c>
      <c r="E92">
        <v>288.65899999999999</v>
      </c>
      <c r="F92">
        <v>288.65899999999999</v>
      </c>
      <c r="G92">
        <v>288.65899999999999</v>
      </c>
      <c r="H92">
        <v>288.65899999999999</v>
      </c>
      <c r="I92">
        <v>288.65899999999999</v>
      </c>
      <c r="J92">
        <v>288.65899999999999</v>
      </c>
      <c r="K92">
        <v>288.65899999999999</v>
      </c>
      <c r="L92">
        <v>288.65899999999999</v>
      </c>
      <c r="M92">
        <v>288.65899999999999</v>
      </c>
      <c r="N92" s="13">
        <f t="shared" si="19"/>
        <v>0</v>
      </c>
      <c r="O92" s="13">
        <f t="shared" si="20"/>
        <v>0</v>
      </c>
      <c r="P92" s="13">
        <f t="shared" si="21"/>
        <v>0</v>
      </c>
      <c r="Q92" s="13">
        <f t="shared" si="22"/>
        <v>0</v>
      </c>
      <c r="R92" s="13">
        <f t="shared" si="23"/>
        <v>0</v>
      </c>
      <c r="S92" s="13">
        <f t="shared" si="24"/>
        <v>0</v>
      </c>
      <c r="T92" s="13">
        <f t="shared" si="25"/>
        <v>0</v>
      </c>
      <c r="U92" s="7">
        <f t="shared" si="26"/>
        <v>0</v>
      </c>
      <c r="V92">
        <v>288.10300000000001</v>
      </c>
      <c r="W92">
        <v>288.65699999999998</v>
      </c>
      <c r="X92">
        <v>288.10300000000001</v>
      </c>
      <c r="Y92">
        <v>288.65699999999998</v>
      </c>
      <c r="Z92">
        <v>288.65699999999998</v>
      </c>
      <c r="AA92">
        <v>288.65699999999998</v>
      </c>
      <c r="AB92">
        <v>288.65699999999998</v>
      </c>
      <c r="AC92">
        <v>288.65699999999998</v>
      </c>
      <c r="AD92">
        <v>288.65699999999998</v>
      </c>
      <c r="AE92" s="14">
        <f>Tabla13[[#This Row],[Calculated HEFT_NC]]/Tabla13[[#This Row],[Real HEFT_NC]]</f>
        <v>0.99807385184594977</v>
      </c>
      <c r="AF92" s="14">
        <f>Tabla13[[#This Row],[Calculated HEFT_DNC]]/Tabla13[[#This Row],[Real HEFT_DNC]]</f>
        <v>0.99999307140951776</v>
      </c>
      <c r="AG92" s="14">
        <f>Tabla13[[#This Row],[Calculated GA_NC]]/Tabla13[[#This Row],[Real GA_NC]]</f>
        <v>0.99807385184594977</v>
      </c>
      <c r="AH92" s="15">
        <f>Tabla13[[#This Row],[Calculated GA_DNC]]/Tabla13[[#This Row],[Real GA_DNC]]</f>
        <v>0.99999307140951776</v>
      </c>
      <c r="AI92" s="15">
        <f>Tabla13[[#This Row],[Calculated HGA_(Ph2)]]/Tabla13[[#This Row],[Real HGA_(Ph2)]]</f>
        <v>0.99999307140951776</v>
      </c>
      <c r="AJ92" s="15">
        <f>Tabla13[[#This Row],[Calculated HGA_(Ph1)]]/Tabla13[[#This Row],[Real HGA_(Ph1)]]</f>
        <v>0.99999307140951776</v>
      </c>
      <c r="AK92" s="15">
        <f>Tabla13[[#This Row],[Calculated HGA^H]]/Tabla13[[#This Row],[Real GA^H]]</f>
        <v>0.99999307140951776</v>
      </c>
      <c r="AL92" s="15">
        <f>Tabla13[[#This Row],[Calculated HGA_(Ph2)^H]]/Tabla13[[#This Row],[Real HGA_(Ph2)^H]]</f>
        <v>0.99999307140951776</v>
      </c>
      <c r="AM92" s="15">
        <f>Tabla13[[#This Row],[Calculated HGA_(Ph1)^H]]/Tabla13[[#This Row],[Real HGA_(Ph1)^H]]</f>
        <v>0.99999307140951776</v>
      </c>
      <c r="AU92"/>
      <c r="AV92"/>
      <c r="AW92"/>
    </row>
    <row r="93" spans="1:49">
      <c r="A93" s="6" t="str">
        <f t="shared" si="18"/>
        <v>seismology</v>
      </c>
      <c r="B93" t="s">
        <v>19</v>
      </c>
      <c r="C93">
        <f>_xlfn.XLOOKUP(B93,Instances!$B$2:$B$29,Instances!$A$2:$A$29,,0,1)</f>
        <v>501</v>
      </c>
      <c r="D93">
        <v>2</v>
      </c>
      <c r="E93">
        <v>144.50700000000001</v>
      </c>
      <c r="F93">
        <v>144.386</v>
      </c>
      <c r="G93">
        <v>144.45060000000001</v>
      </c>
      <c r="H93">
        <v>144.3415</v>
      </c>
      <c r="I93">
        <v>144.31530000000001</v>
      </c>
      <c r="J93">
        <v>144.35400000000001</v>
      </c>
      <c r="K93">
        <v>144.34450000000001</v>
      </c>
      <c r="L93">
        <v>144.31280000000001</v>
      </c>
      <c r="M93">
        <v>144.3544</v>
      </c>
      <c r="N93" s="13">
        <f t="shared" si="19"/>
        <v>8.373296795311599E-4</v>
      </c>
      <c r="O93" s="13">
        <f t="shared" si="20"/>
        <v>3.9029251178141161E-4</v>
      </c>
      <c r="P93" s="13">
        <f t="shared" si="21"/>
        <v>1.1452732393587067E-3</v>
      </c>
      <c r="Q93" s="13">
        <f t="shared" si="22"/>
        <v>1.3265793352570969E-3</v>
      </c>
      <c r="R93" s="13">
        <f t="shared" si="23"/>
        <v>1.0587722394070293E-3</v>
      </c>
      <c r="S93" s="13">
        <f t="shared" si="24"/>
        <v>1.1245129993702333E-3</v>
      </c>
      <c r="T93" s="13">
        <f t="shared" si="25"/>
        <v>1.3438795352473931E-3</v>
      </c>
      <c r="U93" s="7">
        <f t="shared" si="26"/>
        <v>1.0560042074086841E-3</v>
      </c>
      <c r="V93">
        <v>144.197</v>
      </c>
      <c r="W93">
        <v>144.37</v>
      </c>
      <c r="X93">
        <v>144.15199999999999</v>
      </c>
      <c r="Y93">
        <v>144.32679999999999</v>
      </c>
      <c r="Z93">
        <v>144.3032</v>
      </c>
      <c r="AA93">
        <v>144.33840000000001</v>
      </c>
      <c r="AB93">
        <v>144.3296</v>
      </c>
      <c r="AC93">
        <v>144.30070000000001</v>
      </c>
      <c r="AD93">
        <v>144.33869999999999</v>
      </c>
      <c r="AE93" s="14">
        <f>Tabla13[[#This Row],[Calculated HEFT_NC]]/Tabla13[[#This Row],[Real HEFT_NC]]</f>
        <v>0.99785477520120136</v>
      </c>
      <c r="AF93" s="14">
        <f>Tabla13[[#This Row],[Calculated HEFT_DNC]]/Tabla13[[#This Row],[Real HEFT_DNC]]</f>
        <v>0.99988918593215415</v>
      </c>
      <c r="AG93" s="14">
        <f>Tabla13[[#This Row],[Calculated GA_NC]]/Tabla13[[#This Row],[Real GA_NC]]</f>
        <v>0.99793285732284931</v>
      </c>
      <c r="AH93" s="15">
        <f>Tabla13[[#This Row],[Calculated GA_DNC]]/Tabla13[[#This Row],[Real GA_DNC]]</f>
        <v>0.99989815818735428</v>
      </c>
      <c r="AI93" s="15">
        <f>Tabla13[[#This Row],[Calculated HGA_(Ph2)]]/Tabla13[[#This Row],[Real HGA_(Ph2)]]</f>
        <v>0.99991615580607185</v>
      </c>
      <c r="AJ93" s="15">
        <f>Tabla13[[#This Row],[Calculated HGA_(Ph1)]]/Tabla13[[#This Row],[Real HGA_(Ph1)]]</f>
        <v>0.99989193233301465</v>
      </c>
      <c r="AK93" s="15">
        <f>Tabla13[[#This Row],[Calculated HGA^H]]/Tabla13[[#This Row],[Real GA^H]]</f>
        <v>0.99989677472989957</v>
      </c>
      <c r="AL93" s="15">
        <f>Tabla13[[#This Row],[Calculated HGA_(Ph2)^H]]/Tabla13[[#This Row],[Real HGA_(Ph2)^H]]</f>
        <v>0.9999161543535986</v>
      </c>
      <c r="AM93" s="15">
        <f>Tabla13[[#This Row],[Calculated HGA_(Ph1)^H]]/Tabla13[[#This Row],[Real HGA_(Ph1)^H]]</f>
        <v>0.99989123989293016</v>
      </c>
      <c r="AU93"/>
      <c r="AV93"/>
      <c r="AW93"/>
    </row>
    <row r="94" spans="1:49">
      <c r="A94" s="6" t="str">
        <f t="shared" si="18"/>
        <v>seismology</v>
      </c>
      <c r="B94" t="s">
        <v>19</v>
      </c>
      <c r="C94">
        <f>_xlfn.XLOOKUP(B94,Instances!$B$2:$B$29,Instances!$A$2:$A$29,,0,1)</f>
        <v>501</v>
      </c>
      <c r="D94">
        <v>4</v>
      </c>
      <c r="E94">
        <v>72.37660000000001</v>
      </c>
      <c r="F94">
        <v>72.402799999999985</v>
      </c>
      <c r="G94">
        <v>72.406970000000001</v>
      </c>
      <c r="H94">
        <v>72.354050000000001</v>
      </c>
      <c r="I94">
        <v>72.315010000000015</v>
      </c>
      <c r="J94">
        <v>72.341880000000018</v>
      </c>
      <c r="K94">
        <v>72.342920000000007</v>
      </c>
      <c r="L94">
        <v>72.311709999999991</v>
      </c>
      <c r="M94">
        <v>72.342919999999992</v>
      </c>
      <c r="N94" s="13">
        <f t="shared" si="19"/>
        <v>-3.6199545156824806E-4</v>
      </c>
      <c r="O94" s="13">
        <f t="shared" si="20"/>
        <v>-4.1961075817309294E-4</v>
      </c>
      <c r="P94" s="13">
        <f t="shared" si="21"/>
        <v>3.1156478751432942E-4</v>
      </c>
      <c r="Q94" s="13">
        <f t="shared" si="22"/>
        <v>8.509656435919256E-4</v>
      </c>
      <c r="R94" s="13">
        <f t="shared" si="23"/>
        <v>4.7971305642974352E-4</v>
      </c>
      <c r="S94" s="13">
        <f t="shared" si="24"/>
        <v>4.6534377132946179E-4</v>
      </c>
      <c r="T94" s="13">
        <f t="shared" si="25"/>
        <v>8.9656049054555819E-4</v>
      </c>
      <c r="U94" s="7">
        <f t="shared" si="26"/>
        <v>4.6534377132965814E-4</v>
      </c>
      <c r="V94">
        <v>72.242999999999981</v>
      </c>
      <c r="W94">
        <v>72.381799999999998</v>
      </c>
      <c r="X94">
        <v>72.19</v>
      </c>
      <c r="Y94">
        <v>72.333119999999994</v>
      </c>
      <c r="Z94">
        <v>72.295940000000002</v>
      </c>
      <c r="AA94">
        <v>72.320920000000001</v>
      </c>
      <c r="AB94">
        <v>72.322020000000009</v>
      </c>
      <c r="AC94">
        <v>72.292869999999994</v>
      </c>
      <c r="AD94">
        <v>72.32199</v>
      </c>
      <c r="AE94" s="14">
        <f>Tabla13[[#This Row],[Calculated HEFT_NC]]/Tabla13[[#This Row],[Real HEFT_NC]]</f>
        <v>0.99815409952940548</v>
      </c>
      <c r="AF94" s="14">
        <f>Tabla13[[#This Row],[Calculated HEFT_DNC]]/Tabla13[[#This Row],[Real HEFT_DNC]]</f>
        <v>0.99970995596855394</v>
      </c>
      <c r="AG94" s="14">
        <f>Tabla13[[#This Row],[Calculated GA_NC]]/Tabla13[[#This Row],[Real GA_NC]]</f>
        <v>0.99700346527413031</v>
      </c>
      <c r="AH94" s="15">
        <f>Tabla13[[#This Row],[Calculated GA_DNC]]/Tabla13[[#This Row],[Real GA_DNC]]</f>
        <v>0.99971072801038774</v>
      </c>
      <c r="AI94" s="15">
        <f>Tabla13[[#This Row],[Calculated HGA_(Ph2)]]/Tabla13[[#This Row],[Real HGA_(Ph2)]]</f>
        <v>0.99973629264519204</v>
      </c>
      <c r="AJ94" s="15">
        <f>Tabla13[[#This Row],[Calculated HGA_(Ph1)]]/Tabla13[[#This Row],[Real HGA_(Ph1)]]</f>
        <v>0.9997102646489141</v>
      </c>
      <c r="AK94" s="15">
        <f>Tabla13[[#This Row],[Calculated HGA^H]]/Tabla13[[#This Row],[Real GA^H]]</f>
        <v>0.99971109819730808</v>
      </c>
      <c r="AL94" s="15">
        <f>Tabla13[[#This Row],[Calculated HGA_(Ph2)^H]]/Tabla13[[#This Row],[Real HGA_(Ph2)^H]]</f>
        <v>0.99973946128503943</v>
      </c>
      <c r="AM94" s="15">
        <f>Tabla13[[#This Row],[Calculated HGA_(Ph1)^H]]/Tabla13[[#This Row],[Real HGA_(Ph1)^H]]</f>
        <v>0.99971068350572534</v>
      </c>
      <c r="AU94"/>
      <c r="AV94"/>
      <c r="AW94"/>
    </row>
    <row r="95" spans="1:49">
      <c r="A95" s="6" t="str">
        <f t="shared" si="18"/>
        <v>seismology</v>
      </c>
      <c r="B95" t="s">
        <v>19</v>
      </c>
      <c r="C95">
        <f>_xlfn.XLOOKUP(B95,Instances!$B$2:$B$29,Instances!$A$2:$A$29,,0,1)</f>
        <v>501</v>
      </c>
      <c r="D95">
        <v>8</v>
      </c>
      <c r="E95">
        <v>36.391900000000007</v>
      </c>
      <c r="F95">
        <v>36.363300000000002</v>
      </c>
      <c r="G95">
        <v>36.388869999999997</v>
      </c>
      <c r="H95">
        <v>36.35978999999999</v>
      </c>
      <c r="I95">
        <v>36.317399999999999</v>
      </c>
      <c r="J95">
        <v>37.020510000000002</v>
      </c>
      <c r="K95">
        <v>36.359430000000003</v>
      </c>
      <c r="L95">
        <v>36.308720000000008</v>
      </c>
      <c r="M95">
        <v>36.363300000000002</v>
      </c>
      <c r="N95" s="13">
        <f t="shared" si="19"/>
        <v>7.8588916764456914E-4</v>
      </c>
      <c r="O95" s="13">
        <f t="shared" si="20"/>
        <v>8.3260285943015765E-5</v>
      </c>
      <c r="P95" s="13">
        <f t="shared" si="21"/>
        <v>8.823392018558299E-4</v>
      </c>
      <c r="Q95" s="13">
        <f t="shared" si="22"/>
        <v>2.0471588457873194E-3</v>
      </c>
      <c r="R95" s="13">
        <f t="shared" si="23"/>
        <v>-1.7273349289264772E-2</v>
      </c>
      <c r="S95" s="13">
        <f t="shared" si="24"/>
        <v>8.9223151305657428E-4</v>
      </c>
      <c r="T95" s="13">
        <f t="shared" si="25"/>
        <v>2.2856734603029435E-3</v>
      </c>
      <c r="U95" s="7">
        <f t="shared" si="26"/>
        <v>7.8588916764456914E-4</v>
      </c>
      <c r="V95">
        <v>36.222999999999999</v>
      </c>
      <c r="W95">
        <v>36.33979999999999</v>
      </c>
      <c r="X95">
        <v>36.227609999999999</v>
      </c>
      <c r="Y95">
        <v>36.336320000000001</v>
      </c>
      <c r="Z95">
        <v>36.295280000000012</v>
      </c>
      <c r="AA95">
        <v>36.99729</v>
      </c>
      <c r="AB95">
        <v>36.335920000000002</v>
      </c>
      <c r="AC95">
        <v>36.286619999999999</v>
      </c>
      <c r="AD95">
        <v>36.33979999999999</v>
      </c>
      <c r="AE95" s="14">
        <f>Tabla13[[#This Row],[Calculated HEFT_NC]]/Tabla13[[#This Row],[Real HEFT_NC]]</f>
        <v>0.99535885732814144</v>
      </c>
      <c r="AF95" s="14">
        <f>Tabla13[[#This Row],[Calculated HEFT_DNC]]/Tabla13[[#This Row],[Real HEFT_DNC]]</f>
        <v>0.99935374402213184</v>
      </c>
      <c r="AG95" s="14">
        <f>Tabla13[[#This Row],[Calculated GA_NC]]/Tabla13[[#This Row],[Real GA_NC]]</f>
        <v>0.99556842518055666</v>
      </c>
      <c r="AH95" s="15">
        <f>Tabla13[[#This Row],[Calculated GA_DNC]]/Tabla13[[#This Row],[Real GA_DNC]]</f>
        <v>0.9993545067229489</v>
      </c>
      <c r="AI95" s="15">
        <f>Tabla13[[#This Row],[Calculated HGA_(Ph2)]]/Tabla13[[#This Row],[Real HGA_(Ph2)]]</f>
        <v>0.99939092556185227</v>
      </c>
      <c r="AJ95" s="15">
        <f>Tabla13[[#This Row],[Calculated HGA_(Ph1)]]/Tabla13[[#This Row],[Real HGA_(Ph1)]]</f>
        <v>0.99937278011567099</v>
      </c>
      <c r="AK95" s="15">
        <f>Tabla13[[#This Row],[Calculated HGA^H]]/Tabla13[[#This Row],[Real GA^H]]</f>
        <v>0.99935340020456864</v>
      </c>
      <c r="AL95" s="15">
        <f>Tabla13[[#This Row],[Calculated HGA_(Ph2)^H]]/Tabla13[[#This Row],[Real HGA_(Ph2)^H]]</f>
        <v>0.99939133078775544</v>
      </c>
      <c r="AM95" s="15">
        <f>Tabla13[[#This Row],[Calculated HGA_(Ph1)^H]]/Tabla13[[#This Row],[Real HGA_(Ph1)^H]]</f>
        <v>0.99935374402213184</v>
      </c>
      <c r="AU95"/>
      <c r="AV95"/>
      <c r="AW95"/>
    </row>
    <row r="96" spans="1:49">
      <c r="A96" s="6" t="str">
        <f t="shared" si="18"/>
        <v>seismology</v>
      </c>
      <c r="B96" t="s">
        <v>19</v>
      </c>
      <c r="C96">
        <f>_xlfn.XLOOKUP(B96,Instances!$B$2:$B$29,Instances!$A$2:$A$29,,0,1)</f>
        <v>501</v>
      </c>
      <c r="D96">
        <v>16</v>
      </c>
      <c r="E96">
        <v>18.375399999999999</v>
      </c>
      <c r="F96">
        <v>18.351299999999998</v>
      </c>
      <c r="G96">
        <v>18.430669999999999</v>
      </c>
      <c r="H96">
        <v>18.38203</v>
      </c>
      <c r="I96">
        <v>18.361000000000001</v>
      </c>
      <c r="J96">
        <v>19.10399</v>
      </c>
      <c r="K96">
        <v>18.351130000000001</v>
      </c>
      <c r="L96">
        <v>18.309920000000002</v>
      </c>
      <c r="M96">
        <v>18.351299999999998</v>
      </c>
      <c r="N96" s="13">
        <f t="shared" si="19"/>
        <v>1.3115360754051982E-3</v>
      </c>
      <c r="O96" s="13">
        <f t="shared" si="20"/>
        <v>-3.0078256799852062E-3</v>
      </c>
      <c r="P96" s="13">
        <f t="shared" si="21"/>
        <v>-3.6080847219659146E-4</v>
      </c>
      <c r="Q96" s="13">
        <f t="shared" si="22"/>
        <v>7.8365641020050798E-4</v>
      </c>
      <c r="R96" s="13">
        <f t="shared" si="23"/>
        <v>-3.9650293326948013E-2</v>
      </c>
      <c r="S96" s="13">
        <f t="shared" si="24"/>
        <v>1.3207875746921315E-3</v>
      </c>
      <c r="T96" s="13">
        <f t="shared" si="25"/>
        <v>3.5634598430508897E-3</v>
      </c>
      <c r="U96" s="7">
        <f t="shared" si="26"/>
        <v>1.3115360754051982E-3</v>
      </c>
      <c r="V96">
        <v>18.227</v>
      </c>
      <c r="W96">
        <v>18.3264</v>
      </c>
      <c r="X96">
        <v>18.284320000000001</v>
      </c>
      <c r="Y96">
        <v>18.35737</v>
      </c>
      <c r="Z96">
        <v>18.337230000000002</v>
      </c>
      <c r="AA96">
        <v>19.079190000000001</v>
      </c>
      <c r="AB96">
        <v>18.32629</v>
      </c>
      <c r="AC96">
        <v>18.286000000000001</v>
      </c>
      <c r="AD96">
        <v>18.3264</v>
      </c>
      <c r="AE96" s="14">
        <f>Tabla13[[#This Row],[Calculated HEFT_NC]]/Tabla13[[#This Row],[Real HEFT_NC]]</f>
        <v>0.99192398532821058</v>
      </c>
      <c r="AF96" s="14">
        <f>Tabla13[[#This Row],[Calculated HEFT_DNC]]/Tabla13[[#This Row],[Real HEFT_DNC]]</f>
        <v>0.99864314789687936</v>
      </c>
      <c r="AG96" s="14">
        <f>Tabla13[[#This Row],[Calculated GA_NC]]/Tabla13[[#This Row],[Real GA_NC]]</f>
        <v>0.99205943137172992</v>
      </c>
      <c r="AH96" s="15">
        <f>Tabla13[[#This Row],[Calculated GA_DNC]]/Tabla13[[#This Row],[Real GA_DNC]]</f>
        <v>0.99865847243204364</v>
      </c>
      <c r="AI96" s="15">
        <f>Tabla13[[#This Row],[Calculated HGA_(Ph2)]]/Tabla13[[#This Row],[Real HGA_(Ph2)]]</f>
        <v>0.99870540820216769</v>
      </c>
      <c r="AJ96" s="15">
        <f>Tabla13[[#This Row],[Calculated HGA_(Ph1)]]/Tabla13[[#This Row],[Real HGA_(Ph1)]]</f>
        <v>0.99870184186654209</v>
      </c>
      <c r="AK96" s="15">
        <f>Tabla13[[#This Row],[Calculated HGA^H]]/Tabla13[[#This Row],[Real GA^H]]</f>
        <v>0.99864640488078926</v>
      </c>
      <c r="AL96" s="15">
        <f>Tabla13[[#This Row],[Calculated HGA_(Ph2)^H]]/Tabla13[[#This Row],[Real HGA_(Ph2)^H]]</f>
        <v>0.9986936043412532</v>
      </c>
      <c r="AM96" s="15">
        <f>Tabla13[[#This Row],[Calculated HGA_(Ph1)^H]]/Tabla13[[#This Row],[Real HGA_(Ph1)^H]]</f>
        <v>0.99864314789687936</v>
      </c>
      <c r="AU96"/>
      <c r="AV96"/>
      <c r="AW96"/>
    </row>
    <row r="97" spans="1:49">
      <c r="A97" s="6" t="str">
        <f t="shared" si="18"/>
        <v>seismology</v>
      </c>
      <c r="B97" t="s">
        <v>20</v>
      </c>
      <c r="C97">
        <f>_xlfn.XLOOKUP(B97,Instances!$B$2:$B$29,Instances!$A$2:$A$29,,0,1)</f>
        <v>701</v>
      </c>
      <c r="D97">
        <v>1</v>
      </c>
      <c r="E97">
        <v>362.43099999999998</v>
      </c>
      <c r="F97">
        <v>362.43099999999998</v>
      </c>
      <c r="G97">
        <v>362.43099999999998</v>
      </c>
      <c r="H97">
        <v>362.43099999999998</v>
      </c>
      <c r="I97">
        <v>362.43099999999998</v>
      </c>
      <c r="J97">
        <v>362.43099999999998</v>
      </c>
      <c r="K97">
        <v>362.43099999999998</v>
      </c>
      <c r="L97">
        <v>362.43099999999998</v>
      </c>
      <c r="M97">
        <v>362.43099999999998</v>
      </c>
      <c r="N97" s="13">
        <f t="shared" si="19"/>
        <v>0</v>
      </c>
      <c r="O97" s="13">
        <f t="shared" si="20"/>
        <v>0</v>
      </c>
      <c r="P97" s="13">
        <f t="shared" si="21"/>
        <v>0</v>
      </c>
      <c r="Q97" s="13">
        <f t="shared" si="22"/>
        <v>0</v>
      </c>
      <c r="R97" s="13">
        <f t="shared" si="23"/>
        <v>0</v>
      </c>
      <c r="S97" s="13">
        <f t="shared" si="24"/>
        <v>0</v>
      </c>
      <c r="T97" s="13">
        <f t="shared" si="25"/>
        <v>0</v>
      </c>
      <c r="U97" s="7">
        <f t="shared" si="26"/>
        <v>0</v>
      </c>
      <c r="V97">
        <v>361.64</v>
      </c>
      <c r="W97">
        <v>362.42899999999997</v>
      </c>
      <c r="X97">
        <v>361.64</v>
      </c>
      <c r="Y97">
        <v>362.42899999999997</v>
      </c>
      <c r="Z97">
        <v>362.42899999999997</v>
      </c>
      <c r="AA97">
        <v>362.42899999999997</v>
      </c>
      <c r="AB97">
        <v>362.42899999999997</v>
      </c>
      <c r="AC97">
        <v>362.42899999999997</v>
      </c>
      <c r="AD97">
        <v>362.42899999999997</v>
      </c>
      <c r="AE97" s="14">
        <f>Tabla13[[#This Row],[Calculated HEFT_NC]]/Tabla13[[#This Row],[Real HEFT_NC]]</f>
        <v>0.99781751560986787</v>
      </c>
      <c r="AF97" s="14">
        <f>Tabla13[[#This Row],[Calculated HEFT_DNC]]/Tabla13[[#This Row],[Real HEFT_DNC]]</f>
        <v>0.99999448170824234</v>
      </c>
      <c r="AG97" s="14">
        <f>Tabla13[[#This Row],[Calculated GA_NC]]/Tabla13[[#This Row],[Real GA_NC]]</f>
        <v>0.99781751560986787</v>
      </c>
      <c r="AH97" s="15">
        <f>Tabla13[[#This Row],[Calculated GA_DNC]]/Tabla13[[#This Row],[Real GA_DNC]]</f>
        <v>0.99999448170824234</v>
      </c>
      <c r="AI97" s="15">
        <f>Tabla13[[#This Row],[Calculated HGA_(Ph2)]]/Tabla13[[#This Row],[Real HGA_(Ph2)]]</f>
        <v>0.99999448170824234</v>
      </c>
      <c r="AJ97" s="15">
        <f>Tabla13[[#This Row],[Calculated HGA_(Ph1)]]/Tabla13[[#This Row],[Real HGA_(Ph1)]]</f>
        <v>0.99999448170824234</v>
      </c>
      <c r="AK97" s="15">
        <f>Tabla13[[#This Row],[Calculated HGA^H]]/Tabla13[[#This Row],[Real GA^H]]</f>
        <v>0.99999448170824234</v>
      </c>
      <c r="AL97" s="15">
        <f>Tabla13[[#This Row],[Calculated HGA_(Ph2)^H]]/Tabla13[[#This Row],[Real HGA_(Ph2)^H]]</f>
        <v>0.99999448170824234</v>
      </c>
      <c r="AM97" s="15">
        <f>Tabla13[[#This Row],[Calculated HGA_(Ph1)^H]]/Tabla13[[#This Row],[Real HGA_(Ph1)^H]]</f>
        <v>0.99999448170824234</v>
      </c>
      <c r="AU97"/>
      <c r="AV97"/>
      <c r="AW97"/>
    </row>
    <row r="98" spans="1:49">
      <c r="A98" s="6" t="str">
        <f t="shared" ref="A98:A129" si="27">LEFT(B98,FIND("-",B98)-1)</f>
        <v>seismology</v>
      </c>
      <c r="B98" t="s">
        <v>20</v>
      </c>
      <c r="C98">
        <f>_xlfn.XLOOKUP(B98,Instances!$B$2:$B$29,Instances!$A$2:$A$29,,0,1)</f>
        <v>701</v>
      </c>
      <c r="D98">
        <v>2</v>
      </c>
      <c r="E98">
        <v>181.392</v>
      </c>
      <c r="F98">
        <v>181.24799999999999</v>
      </c>
      <c r="G98">
        <v>181.3818</v>
      </c>
      <c r="H98">
        <v>181.2287</v>
      </c>
      <c r="I98">
        <v>181.20140000000001</v>
      </c>
      <c r="J98">
        <v>181.2405</v>
      </c>
      <c r="K98">
        <v>181.2328</v>
      </c>
      <c r="L98">
        <v>181.1978</v>
      </c>
      <c r="M98">
        <v>181.23990000000001</v>
      </c>
      <c r="N98" s="13">
        <f t="shared" ref="N98:N129" si="28">(($E98-F98)/$E98)</f>
        <v>7.9386080973805609E-4</v>
      </c>
      <c r="O98" s="13">
        <f t="shared" ref="O98:O129" si="29">(($E98-G98)/$E98)</f>
        <v>5.6231807356429965E-5</v>
      </c>
      <c r="P98" s="13">
        <f t="shared" ref="P98:P129" si="30">(($E98-H98)/$E98)</f>
        <v>9.0026020993203915E-4</v>
      </c>
      <c r="Q98" s="13">
        <f t="shared" ref="Q98:Q129" si="31">(($E98-I98)/$E98)</f>
        <v>1.0507629884448555E-3</v>
      </c>
      <c r="R98" s="13">
        <f t="shared" ref="R98:R129" si="32">(($E98-J98)/$E98)</f>
        <v>8.3520772691187393E-4</v>
      </c>
      <c r="S98" s="13">
        <f t="shared" ref="S98:S129" si="33">(($E98-K98)/$E98)</f>
        <v>8.7765722854369797E-4</v>
      </c>
      <c r="T98" s="13">
        <f t="shared" ref="T98:T129" si="34">(($E98-L98)/$E98)</f>
        <v>1.0706095086883381E-3</v>
      </c>
      <c r="U98" s="7">
        <f t="shared" ref="U98:U129" si="35">(($E98-M98)/$E98)</f>
        <v>8.3851548028573552E-4</v>
      </c>
      <c r="V98">
        <v>180.95400000000001</v>
      </c>
      <c r="W98">
        <v>181.22499999999999</v>
      </c>
      <c r="X98">
        <v>180.953</v>
      </c>
      <c r="Y98">
        <v>181.20760000000001</v>
      </c>
      <c r="Z98">
        <v>181.1825</v>
      </c>
      <c r="AA98">
        <v>181.21770000000001</v>
      </c>
      <c r="AB98">
        <v>181.21109999999999</v>
      </c>
      <c r="AC98">
        <v>181.17920000000001</v>
      </c>
      <c r="AD98">
        <v>181.21780000000001</v>
      </c>
      <c r="AE98" s="14">
        <f>Tabla13[[#This Row],[Calculated HEFT_NC]]/Tabla13[[#This Row],[Real HEFT_NC]]</f>
        <v>0.99758534003704691</v>
      </c>
      <c r="AF98" s="14">
        <f>Tabla13[[#This Row],[Calculated HEFT_DNC]]/Tabla13[[#This Row],[Real HEFT_DNC]]</f>
        <v>0.9998731020480226</v>
      </c>
      <c r="AG98" s="14">
        <f>Tabla13[[#This Row],[Calculated GA_NC]]/Tabla13[[#This Row],[Real GA_NC]]</f>
        <v>0.99763592598595896</v>
      </c>
      <c r="AH98" s="15">
        <f>Tabla13[[#This Row],[Calculated GA_DNC]]/Tabla13[[#This Row],[Real GA_DNC]]</f>
        <v>0.99988357252466087</v>
      </c>
      <c r="AI98" s="15">
        <f>Tabla13[[#This Row],[Calculated HGA_(Ph2)]]/Tabla13[[#This Row],[Real HGA_(Ph2)]]</f>
        <v>0.99989569617011786</v>
      </c>
      <c r="AJ98" s="15">
        <f>Tabla13[[#This Row],[Calculated HGA_(Ph1)]]/Tabla13[[#This Row],[Real HGA_(Ph1)]]</f>
        <v>0.99987420030291252</v>
      </c>
      <c r="AK98" s="15">
        <f>Tabla13[[#This Row],[Calculated HGA^H]]/Tabla13[[#This Row],[Real GA^H]]</f>
        <v>0.99988026449958278</v>
      </c>
      <c r="AL98" s="15">
        <f>Tabla13[[#This Row],[Calculated HGA_(Ph2)^H]]/Tabla13[[#This Row],[Real HGA_(Ph2)^H]]</f>
        <v>0.99989734974707201</v>
      </c>
      <c r="AM98" s="15">
        <f>Tabla13[[#This Row],[Calculated HGA_(Ph1)^H]]/Tabla13[[#This Row],[Real HGA_(Ph1)^H]]</f>
        <v>0.99987806217063679</v>
      </c>
      <c r="AU98"/>
      <c r="AV98"/>
      <c r="AW98"/>
    </row>
    <row r="99" spans="1:49">
      <c r="A99" s="6" t="str">
        <f t="shared" si="27"/>
        <v>seismology</v>
      </c>
      <c r="B99" t="s">
        <v>20</v>
      </c>
      <c r="C99">
        <f>_xlfn.XLOOKUP(B99,Instances!$B$2:$B$29,Instances!$A$2:$A$29,,0,1)</f>
        <v>701</v>
      </c>
      <c r="D99">
        <v>4</v>
      </c>
      <c r="E99">
        <v>90.942800000000005</v>
      </c>
      <c r="F99">
        <v>90.834199999999996</v>
      </c>
      <c r="G99">
        <v>90.927610000000001</v>
      </c>
      <c r="H99">
        <v>90.852549999999994</v>
      </c>
      <c r="I99">
        <v>90.813569999999999</v>
      </c>
      <c r="J99">
        <v>90.961590000000001</v>
      </c>
      <c r="K99">
        <v>90.834119999999999</v>
      </c>
      <c r="L99">
        <v>90.811810000000008</v>
      </c>
      <c r="M99">
        <v>90.834199999999996</v>
      </c>
      <c r="N99" s="13">
        <f t="shared" si="28"/>
        <v>1.1941572065079346E-3</v>
      </c>
      <c r="O99" s="13">
        <f t="shared" si="29"/>
        <v>1.6702806599317409E-4</v>
      </c>
      <c r="P99" s="13">
        <f t="shared" si="30"/>
        <v>9.9238202474535311E-4</v>
      </c>
      <c r="Q99" s="13">
        <f t="shared" si="31"/>
        <v>1.4210030920535418E-3</v>
      </c>
      <c r="R99" s="13">
        <f t="shared" si="32"/>
        <v>-2.0661338775577223E-4</v>
      </c>
      <c r="S99" s="13">
        <f t="shared" si="33"/>
        <v>1.1950368803248499E-3</v>
      </c>
      <c r="T99" s="13">
        <f t="shared" si="34"/>
        <v>1.4403559160263049E-3</v>
      </c>
      <c r="U99" s="7">
        <f t="shared" si="35"/>
        <v>1.1941572065079346E-3</v>
      </c>
      <c r="V99">
        <v>90.625</v>
      </c>
      <c r="W99">
        <v>90.80449999999999</v>
      </c>
      <c r="X99">
        <v>90.629199999999997</v>
      </c>
      <c r="Y99">
        <v>90.822649999999996</v>
      </c>
      <c r="Z99">
        <v>90.785820000000001</v>
      </c>
      <c r="AA99">
        <v>90.932089999999988</v>
      </c>
      <c r="AB99">
        <v>90.804459999999992</v>
      </c>
      <c r="AC99">
        <v>90.784110000000013</v>
      </c>
      <c r="AD99">
        <v>90.80449999999999</v>
      </c>
      <c r="AE99" s="14">
        <f>Tabla13[[#This Row],[Calculated HEFT_NC]]/Tabla13[[#This Row],[Real HEFT_NC]]</f>
        <v>0.99650549576217129</v>
      </c>
      <c r="AF99" s="14">
        <f>Tabla13[[#This Row],[Calculated HEFT_DNC]]/Tabla13[[#This Row],[Real HEFT_DNC]]</f>
        <v>0.99967303064264335</v>
      </c>
      <c r="AG99" s="14">
        <f>Tabla13[[#This Row],[Calculated GA_NC]]/Tabla13[[#This Row],[Real GA_NC]]</f>
        <v>0.99671815854392298</v>
      </c>
      <c r="AH99" s="15">
        <f>Tabla13[[#This Row],[Calculated GA_DNC]]/Tabla13[[#This Row],[Real GA_DNC]]</f>
        <v>0.99967089531334019</v>
      </c>
      <c r="AI99" s="15">
        <f>Tabla13[[#This Row],[Calculated HGA_(Ph2)]]/Tabla13[[#This Row],[Real HGA_(Ph2)]]</f>
        <v>0.99969442892730687</v>
      </c>
      <c r="AJ99" s="15">
        <f>Tabla13[[#This Row],[Calculated HGA_(Ph1)]]/Tabla13[[#This Row],[Real HGA_(Ph1)]]</f>
        <v>0.99967568728734824</v>
      </c>
      <c r="AK99" s="15">
        <f>Tabla13[[#This Row],[Calculated HGA^H]]/Tabla13[[#This Row],[Real GA^H]]</f>
        <v>0.99967347071783152</v>
      </c>
      <c r="AL99" s="15">
        <f>Tabla13[[#This Row],[Calculated HGA_(Ph2)^H]]/Tabla13[[#This Row],[Real HGA_(Ph2)^H]]</f>
        <v>0.9996949735942936</v>
      </c>
      <c r="AM99" s="15">
        <f>Tabla13[[#This Row],[Calculated HGA_(Ph1)^H]]/Tabla13[[#This Row],[Real HGA_(Ph1)^H]]</f>
        <v>0.99967303064264335</v>
      </c>
      <c r="AU99"/>
      <c r="AV99"/>
      <c r="AW99"/>
    </row>
    <row r="100" spans="1:49">
      <c r="A100" s="6" t="str">
        <f t="shared" si="27"/>
        <v>seismology</v>
      </c>
      <c r="B100" t="s">
        <v>20</v>
      </c>
      <c r="C100">
        <f>_xlfn.XLOOKUP(B100,Instances!$B$2:$B$29,Instances!$A$2:$A$29,,0,1)</f>
        <v>701</v>
      </c>
      <c r="D100">
        <v>8</v>
      </c>
      <c r="E100">
        <v>45.7256</v>
      </c>
      <c r="F100">
        <v>45.674999999999997</v>
      </c>
      <c r="G100">
        <v>45.72542</v>
      </c>
      <c r="H100">
        <v>45.674639999999997</v>
      </c>
      <c r="I100">
        <v>45.62256</v>
      </c>
      <c r="J100">
        <v>46.312860000000001</v>
      </c>
      <c r="K100">
        <v>45.669820000000001</v>
      </c>
      <c r="L100">
        <v>45.616259999999997</v>
      </c>
      <c r="M100">
        <v>45.674999999999997</v>
      </c>
      <c r="N100" s="13">
        <f t="shared" si="28"/>
        <v>1.1066011162237973E-3</v>
      </c>
      <c r="O100" s="13">
        <f t="shared" si="29"/>
        <v>3.9365257098931678E-6</v>
      </c>
      <c r="P100" s="13">
        <f t="shared" si="30"/>
        <v>1.1144741676435835E-3</v>
      </c>
      <c r="Q100" s="13">
        <f t="shared" si="31"/>
        <v>2.2534422730374239E-3</v>
      </c>
      <c r="R100" s="13">
        <f t="shared" si="32"/>
        <v>-1.2843133824378478E-2</v>
      </c>
      <c r="S100" s="13">
        <f t="shared" si="33"/>
        <v>1.2198855783193355E-3</v>
      </c>
      <c r="T100" s="13">
        <f t="shared" si="34"/>
        <v>2.3912206728835292E-3</v>
      </c>
      <c r="U100" s="7">
        <f t="shared" si="35"/>
        <v>1.1066011162237973E-3</v>
      </c>
      <c r="V100">
        <v>45.47699999999999</v>
      </c>
      <c r="W100">
        <v>45.641300000000001</v>
      </c>
      <c r="X100">
        <v>45.482399999999998</v>
      </c>
      <c r="Y100">
        <v>45.641080000000002</v>
      </c>
      <c r="Z100">
        <v>45.590510000000002</v>
      </c>
      <c r="AA100">
        <v>46.279780000000002</v>
      </c>
      <c r="AB100">
        <v>45.636119999999998</v>
      </c>
      <c r="AC100">
        <v>45.58419</v>
      </c>
      <c r="AD100">
        <v>45.641300000000001</v>
      </c>
      <c r="AE100" s="14">
        <f>Tabla13[[#This Row],[Calculated HEFT_NC]]/Tabla13[[#This Row],[Real HEFT_NC]]</f>
        <v>0.99456322060290059</v>
      </c>
      <c r="AF100" s="14">
        <f>Tabla13[[#This Row],[Calculated HEFT_DNC]]/Tabla13[[#This Row],[Real HEFT_DNC]]</f>
        <v>0.99926217843459231</v>
      </c>
      <c r="AG100" s="14">
        <f>Tabla13[[#This Row],[Calculated GA_NC]]/Tabla13[[#This Row],[Real GA_NC]]</f>
        <v>0.99468523197818626</v>
      </c>
      <c r="AH100" s="15">
        <f>Tabla13[[#This Row],[Calculated GA_DNC]]/Tabla13[[#This Row],[Real GA_DNC]]</f>
        <v>0.99926523777746268</v>
      </c>
      <c r="AI100" s="15">
        <f>Tabla13[[#This Row],[Calculated HGA_(Ph2)]]/Tabla13[[#This Row],[Real HGA_(Ph2)]]</f>
        <v>0.99929749667708256</v>
      </c>
      <c r="AJ100" s="15">
        <f>Tabla13[[#This Row],[Calculated HGA_(Ph1)]]/Tabla13[[#This Row],[Real HGA_(Ph1)]]</f>
        <v>0.99928572754954026</v>
      </c>
      <c r="AK100" s="15">
        <f>Tabla13[[#This Row],[Calculated HGA^H]]/Tabla13[[#This Row],[Real GA^H]]</f>
        <v>0.99926209474878591</v>
      </c>
      <c r="AL100" s="15">
        <f>Tabla13[[#This Row],[Calculated HGA_(Ph2)^H]]/Tabla13[[#This Row],[Real HGA_(Ph2)^H]]</f>
        <v>0.99929696121514566</v>
      </c>
      <c r="AM100" s="15">
        <f>Tabla13[[#This Row],[Calculated HGA_(Ph1)^H]]/Tabla13[[#This Row],[Real HGA_(Ph1)^H]]</f>
        <v>0.99926217843459231</v>
      </c>
      <c r="AU100"/>
      <c r="AV100"/>
      <c r="AW100"/>
    </row>
    <row r="101" spans="1:49">
      <c r="A101" s="6" t="str">
        <f t="shared" si="27"/>
        <v>seismology</v>
      </c>
      <c r="B101" t="s">
        <v>20</v>
      </c>
      <c r="C101">
        <f>_xlfn.XLOOKUP(B101,Instances!$B$2:$B$29,Instances!$A$2:$A$29,,0,1)</f>
        <v>701</v>
      </c>
      <c r="D101">
        <v>16</v>
      </c>
      <c r="E101">
        <v>23.0807</v>
      </c>
      <c r="F101">
        <v>23.042999999999999</v>
      </c>
      <c r="G101">
        <v>23.131900000000002</v>
      </c>
      <c r="H101">
        <v>23.09928</v>
      </c>
      <c r="I101">
        <v>23.061620000000001</v>
      </c>
      <c r="J101">
        <v>23.800509999999999</v>
      </c>
      <c r="K101">
        <v>23.04297</v>
      </c>
      <c r="L101">
        <v>23.01878</v>
      </c>
      <c r="M101">
        <v>23.042999999999999</v>
      </c>
      <c r="N101" s="13">
        <f t="shared" si="28"/>
        <v>1.6333993336424353E-3</v>
      </c>
      <c r="O101" s="13">
        <f t="shared" si="29"/>
        <v>-2.2183036043101579E-3</v>
      </c>
      <c r="P101" s="13">
        <f t="shared" si="30"/>
        <v>-8.0500158140784468E-4</v>
      </c>
      <c r="Q101" s="13">
        <f t="shared" si="31"/>
        <v>8.2666470254363499E-4</v>
      </c>
      <c r="R101" s="13">
        <f t="shared" si="32"/>
        <v>-3.1186662449579041E-2</v>
      </c>
      <c r="S101" s="13">
        <f t="shared" si="33"/>
        <v>1.6346991209105364E-3</v>
      </c>
      <c r="T101" s="13">
        <f t="shared" si="34"/>
        <v>2.6827609214625484E-3</v>
      </c>
      <c r="U101" s="7">
        <f t="shared" si="35"/>
        <v>1.6333993336424353E-3</v>
      </c>
      <c r="V101">
        <v>22.864000000000001</v>
      </c>
      <c r="W101">
        <v>23.007999999999999</v>
      </c>
      <c r="X101">
        <v>22.933229999999998</v>
      </c>
      <c r="Y101">
        <v>23.063839999999999</v>
      </c>
      <c r="Z101">
        <v>23.02741</v>
      </c>
      <c r="AA101">
        <v>23.765519999999999</v>
      </c>
      <c r="AB101">
        <v>23.00797</v>
      </c>
      <c r="AC101">
        <v>22.98443</v>
      </c>
      <c r="AD101">
        <v>23.007999999999999</v>
      </c>
      <c r="AE101" s="14">
        <f>Tabla13[[#This Row],[Calculated HEFT_NC]]/Tabla13[[#This Row],[Real HEFT_NC]]</f>
        <v>0.99061120329972663</v>
      </c>
      <c r="AF101" s="14">
        <f>Tabla13[[#This Row],[Calculated HEFT_DNC]]/Tabla13[[#This Row],[Real HEFT_DNC]]</f>
        <v>0.99848110055114347</v>
      </c>
      <c r="AG101" s="14">
        <f>Tabla13[[#This Row],[Calculated GA_NC]]/Tabla13[[#This Row],[Real GA_NC]]</f>
        <v>0.99141142750919709</v>
      </c>
      <c r="AH101" s="15">
        <f>Tabla13[[#This Row],[Calculated GA_DNC]]/Tabla13[[#This Row],[Real GA_DNC]]</f>
        <v>0.99846575304511653</v>
      </c>
      <c r="AI101" s="15">
        <f>Tabla13[[#This Row],[Calculated HGA_(Ph2)]]/Tabla13[[#This Row],[Real HGA_(Ph2)]]</f>
        <v>0.99851658296338242</v>
      </c>
      <c r="AJ101" s="15">
        <f>Tabla13[[#This Row],[Calculated HGA_(Ph1)]]/Tabla13[[#This Row],[Real HGA_(Ph1)]]</f>
        <v>0.99852986343569949</v>
      </c>
      <c r="AK101" s="15">
        <f>Tabla13[[#This Row],[Calculated HGA^H]]/Tabla13[[#This Row],[Real GA^H]]</f>
        <v>0.99848109857366474</v>
      </c>
      <c r="AL101" s="15">
        <f>Tabla13[[#This Row],[Calculated HGA_(Ph2)^H]]/Tabla13[[#This Row],[Real HGA_(Ph2)^H]]</f>
        <v>0.99850774020169619</v>
      </c>
      <c r="AM101" s="15">
        <f>Tabla13[[#This Row],[Calculated HGA_(Ph1)^H]]/Tabla13[[#This Row],[Real HGA_(Ph1)^H]]</f>
        <v>0.99848110055114347</v>
      </c>
      <c r="AU101"/>
      <c r="AV101"/>
      <c r="AW101"/>
    </row>
    <row r="102" spans="1:49">
      <c r="A102" s="6" t="str">
        <f t="shared" si="27"/>
        <v>soykb</v>
      </c>
      <c r="B102" t="s">
        <v>22</v>
      </c>
      <c r="C102">
        <f>_xlfn.XLOOKUP(B102,Instances!$B$2:$B$29,Instances!$A$2:$A$29,,0,1)</f>
        <v>96</v>
      </c>
      <c r="D102">
        <v>1</v>
      </c>
      <c r="E102">
        <v>23289.1</v>
      </c>
      <c r="F102">
        <v>23289.1</v>
      </c>
      <c r="G102">
        <v>23289.1</v>
      </c>
      <c r="H102">
        <v>23289.1</v>
      </c>
      <c r="I102">
        <v>23289.1</v>
      </c>
      <c r="J102">
        <v>23289.1</v>
      </c>
      <c r="K102">
        <v>23289.1</v>
      </c>
      <c r="L102">
        <v>23289.1</v>
      </c>
      <c r="M102">
        <v>23289.1</v>
      </c>
      <c r="N102" s="13">
        <f t="shared" si="28"/>
        <v>0</v>
      </c>
      <c r="O102" s="13">
        <f t="shared" si="29"/>
        <v>0</v>
      </c>
      <c r="P102" s="13">
        <f t="shared" si="30"/>
        <v>0</v>
      </c>
      <c r="Q102" s="13">
        <f t="shared" si="31"/>
        <v>0</v>
      </c>
      <c r="R102" s="13">
        <f t="shared" si="32"/>
        <v>0</v>
      </c>
      <c r="S102" s="13">
        <f t="shared" si="33"/>
        <v>0</v>
      </c>
      <c r="T102" s="13">
        <f t="shared" si="34"/>
        <v>0</v>
      </c>
      <c r="U102" s="7">
        <f t="shared" si="35"/>
        <v>0</v>
      </c>
      <c r="V102">
        <v>11814.5</v>
      </c>
      <c r="W102">
        <v>23288.9</v>
      </c>
      <c r="X102">
        <v>11814.5</v>
      </c>
      <c r="Y102">
        <v>23288.9</v>
      </c>
      <c r="Z102">
        <v>23288.9</v>
      </c>
      <c r="AA102">
        <v>23288.9</v>
      </c>
      <c r="AB102">
        <v>23288.9</v>
      </c>
      <c r="AC102">
        <v>23288.9</v>
      </c>
      <c r="AD102">
        <v>23288.9</v>
      </c>
      <c r="AE102" s="14">
        <f>Tabla13[[#This Row],[Calculated HEFT_NC]]/Tabla13[[#This Row],[Real HEFT_NC]]</f>
        <v>0.5072974052239031</v>
      </c>
      <c r="AF102" s="14">
        <f>Tabla13[[#This Row],[Calculated HEFT_DNC]]/Tabla13[[#This Row],[Real HEFT_DNC]]</f>
        <v>0.99999141229158717</v>
      </c>
      <c r="AG102" s="14">
        <f>Tabla13[[#This Row],[Calculated GA_NC]]/Tabla13[[#This Row],[Real GA_NC]]</f>
        <v>0.5072974052239031</v>
      </c>
      <c r="AH102" s="15">
        <f>Tabla13[[#This Row],[Calculated GA_DNC]]/Tabla13[[#This Row],[Real GA_DNC]]</f>
        <v>0.99999141229158717</v>
      </c>
      <c r="AI102" s="15">
        <f>Tabla13[[#This Row],[Calculated HGA_(Ph2)]]/Tabla13[[#This Row],[Real HGA_(Ph2)]]</f>
        <v>0.99999141229158717</v>
      </c>
      <c r="AJ102" s="15">
        <f>Tabla13[[#This Row],[Calculated HGA_(Ph1)]]/Tabla13[[#This Row],[Real HGA_(Ph1)]]</f>
        <v>0.99999141229158717</v>
      </c>
      <c r="AK102" s="15">
        <f>Tabla13[[#This Row],[Calculated HGA^H]]/Tabla13[[#This Row],[Real GA^H]]</f>
        <v>0.99999141229158717</v>
      </c>
      <c r="AL102" s="15">
        <f>Tabla13[[#This Row],[Calculated HGA_(Ph2)^H]]/Tabla13[[#This Row],[Real HGA_(Ph2)^H]]</f>
        <v>0.99999141229158717</v>
      </c>
      <c r="AM102" s="15">
        <f>Tabla13[[#This Row],[Calculated HGA_(Ph1)^H]]/Tabla13[[#This Row],[Real HGA_(Ph1)^H]]</f>
        <v>0.99999141229158717</v>
      </c>
      <c r="AU102"/>
      <c r="AV102"/>
      <c r="AW102"/>
    </row>
    <row r="103" spans="1:49">
      <c r="A103" s="6" t="str">
        <f t="shared" si="27"/>
        <v>soykb</v>
      </c>
      <c r="B103" t="s">
        <v>22</v>
      </c>
      <c r="C103">
        <f>_xlfn.XLOOKUP(B103,Instances!$B$2:$B$29,Instances!$A$2:$A$29,,0,1)</f>
        <v>96</v>
      </c>
      <c r="D103">
        <v>2</v>
      </c>
      <c r="E103">
        <v>10828.8</v>
      </c>
      <c r="F103">
        <v>8673.9500000000007</v>
      </c>
      <c r="G103">
        <v>11812.23</v>
      </c>
      <c r="H103">
        <v>8370.862000000001</v>
      </c>
      <c r="I103">
        <v>8021.4520000000002</v>
      </c>
      <c r="J103">
        <v>8607.2109999999993</v>
      </c>
      <c r="K103">
        <v>8342.3809999999994</v>
      </c>
      <c r="L103">
        <v>8015.9499999999989</v>
      </c>
      <c r="M103">
        <v>8588.6859999999997</v>
      </c>
      <c r="N103" s="13">
        <f t="shared" si="28"/>
        <v>0.19899250147754124</v>
      </c>
      <c r="O103" s="13">
        <f t="shared" si="29"/>
        <v>-9.0816156914893656E-2</v>
      </c>
      <c r="P103" s="13">
        <f t="shared" si="30"/>
        <v>0.22698156767139466</v>
      </c>
      <c r="Q103" s="13">
        <f t="shared" si="31"/>
        <v>0.25924830082742312</v>
      </c>
      <c r="R103" s="13">
        <f t="shared" si="32"/>
        <v>0.20515560357565013</v>
      </c>
      <c r="S103" s="13">
        <f t="shared" si="33"/>
        <v>0.22961168365839243</v>
      </c>
      <c r="T103" s="13">
        <f t="shared" si="34"/>
        <v>0.25975639036643033</v>
      </c>
      <c r="U103" s="7">
        <f t="shared" si="35"/>
        <v>0.20686631944444442</v>
      </c>
      <c r="V103">
        <v>6357.76</v>
      </c>
      <c r="W103">
        <v>8673.6499999999978</v>
      </c>
      <c r="X103">
        <v>6309.2910000000002</v>
      </c>
      <c r="Y103">
        <v>8370.617000000002</v>
      </c>
      <c r="Z103">
        <v>8021.27</v>
      </c>
      <c r="AA103">
        <v>8606.9639999999999</v>
      </c>
      <c r="AB103">
        <v>8342.1479999999992</v>
      </c>
      <c r="AC103">
        <v>8015.7669999999998</v>
      </c>
      <c r="AD103">
        <v>8588.4280000000017</v>
      </c>
      <c r="AE103" s="14">
        <f>Tabla13[[#This Row],[Calculated HEFT_NC]]/Tabla13[[#This Row],[Real HEFT_NC]]</f>
        <v>0.58711583924349886</v>
      </c>
      <c r="AF103" s="14">
        <f>Tabla13[[#This Row],[Calculated HEFT_DNC]]/Tabla13[[#This Row],[Real HEFT_DNC]]</f>
        <v>0.99996541368119451</v>
      </c>
      <c r="AG103" s="14">
        <f>Tabla13[[#This Row],[Calculated GA_NC]]/Tabla13[[#This Row],[Real GA_NC]]</f>
        <v>0.53413208174917015</v>
      </c>
      <c r="AH103" s="15">
        <f>Tabla13[[#This Row],[Calculated GA_DNC]]/Tabla13[[#This Row],[Real GA_DNC]]</f>
        <v>0.9999707318075487</v>
      </c>
      <c r="AI103" s="15">
        <f>Tabla13[[#This Row],[Calculated HGA_(Ph2)]]/Tabla13[[#This Row],[Real HGA_(Ph2)]]</f>
        <v>0.99997731084097996</v>
      </c>
      <c r="AJ103" s="15">
        <f>Tabla13[[#This Row],[Calculated HGA_(Ph1)]]/Tabla13[[#This Row],[Real HGA_(Ph1)]]</f>
        <v>0.99997130313175786</v>
      </c>
      <c r="AK103" s="15">
        <f>Tabla13[[#This Row],[Calculated HGA^H]]/Tabla13[[#This Row],[Real GA^H]]</f>
        <v>0.99997207032380797</v>
      </c>
      <c r="AL103" s="15">
        <f>Tabla13[[#This Row],[Calculated HGA_(Ph2)^H]]/Tabla13[[#This Row],[Real HGA_(Ph2)^H]]</f>
        <v>0.99997717051628332</v>
      </c>
      <c r="AM103" s="15">
        <f>Tabla13[[#This Row],[Calculated HGA_(Ph1)^H]]/Tabla13[[#This Row],[Real HGA_(Ph1)^H]]</f>
        <v>0.9999699604805673</v>
      </c>
      <c r="AU103"/>
      <c r="AV103"/>
      <c r="AW103"/>
    </row>
    <row r="104" spans="1:49">
      <c r="A104" s="6" t="str">
        <f t="shared" si="27"/>
        <v>soykb</v>
      </c>
      <c r="B104" t="s">
        <v>22</v>
      </c>
      <c r="C104">
        <f>_xlfn.XLOOKUP(B104,Instances!$B$2:$B$29,Instances!$A$2:$A$29,,0,1)</f>
        <v>96</v>
      </c>
      <c r="D104">
        <v>4</v>
      </c>
      <c r="E104">
        <v>6874.57</v>
      </c>
      <c r="F104">
        <v>5390.18</v>
      </c>
      <c r="G104">
        <v>7016.4979999999996</v>
      </c>
      <c r="H104">
        <v>5330.1790000000001</v>
      </c>
      <c r="I104">
        <v>5249.9539999999997</v>
      </c>
      <c r="J104">
        <v>5586.8870000000006</v>
      </c>
      <c r="K104">
        <v>5317.7</v>
      </c>
      <c r="L104">
        <v>5272.0259999999998</v>
      </c>
      <c r="M104">
        <v>5390.18</v>
      </c>
      <c r="N104" s="13">
        <f t="shared" si="28"/>
        <v>0.21592477784065031</v>
      </c>
      <c r="O104" s="13">
        <f t="shared" si="29"/>
        <v>-2.0645364000948407E-2</v>
      </c>
      <c r="P104" s="13">
        <f t="shared" si="30"/>
        <v>0.22465274191694895</v>
      </c>
      <c r="Q104" s="13">
        <f t="shared" si="31"/>
        <v>0.23632256272028651</v>
      </c>
      <c r="R104" s="13">
        <f t="shared" si="32"/>
        <v>0.18731106090999133</v>
      </c>
      <c r="S104" s="13">
        <f t="shared" si="33"/>
        <v>0.2264679827247377</v>
      </c>
      <c r="T104" s="13">
        <f t="shared" si="34"/>
        <v>0.2331118891799778</v>
      </c>
      <c r="U104" s="7">
        <f t="shared" si="35"/>
        <v>0.21592477784065031</v>
      </c>
      <c r="V104">
        <v>4467.33</v>
      </c>
      <c r="W104">
        <v>5390.04</v>
      </c>
      <c r="X104">
        <v>4459.8339999999998</v>
      </c>
      <c r="Y104">
        <v>5329.982</v>
      </c>
      <c r="Z104">
        <v>5249.7749999999996</v>
      </c>
      <c r="AA104">
        <v>5586.6960000000008</v>
      </c>
      <c r="AB104">
        <v>5317.5290000000005</v>
      </c>
      <c r="AC104">
        <v>5271.8540000000003</v>
      </c>
      <c r="AD104">
        <v>5390.04</v>
      </c>
      <c r="AE104" s="14">
        <f>Tabla13[[#This Row],[Calculated HEFT_NC]]/Tabla13[[#This Row],[Real HEFT_NC]]</f>
        <v>0.64983409871453779</v>
      </c>
      <c r="AF104" s="14">
        <f>Tabla13[[#This Row],[Calculated HEFT_DNC]]/Tabla13[[#This Row],[Real HEFT_DNC]]</f>
        <v>0.99997402684140413</v>
      </c>
      <c r="AG104" s="14">
        <f>Tabla13[[#This Row],[Calculated GA_NC]]/Tabla13[[#This Row],[Real GA_NC]]</f>
        <v>0.6356210747868809</v>
      </c>
      <c r="AH104" s="15">
        <f>Tabla13[[#This Row],[Calculated GA_DNC]]/Tabla13[[#This Row],[Real GA_DNC]]</f>
        <v>0.99996304064084895</v>
      </c>
      <c r="AI104" s="15">
        <f>Tabla13[[#This Row],[Calculated HGA_(Ph2)]]/Tabla13[[#This Row],[Real HGA_(Ph2)]]</f>
        <v>0.99996590446316291</v>
      </c>
      <c r="AJ104" s="15">
        <f>Tabla13[[#This Row],[Calculated HGA_(Ph1)]]/Tabla13[[#This Row],[Real HGA_(Ph1)]]</f>
        <v>0.99996581280416097</v>
      </c>
      <c r="AK104" s="15">
        <f>Tabla13[[#This Row],[Calculated HGA^H]]/Tabla13[[#This Row],[Real GA^H]]</f>
        <v>0.99996784324049881</v>
      </c>
      <c r="AL104" s="15">
        <f>Tabla13[[#This Row],[Calculated HGA_(Ph2)^H]]/Tabla13[[#This Row],[Real HGA_(Ph2)^H]]</f>
        <v>0.99996737497121613</v>
      </c>
      <c r="AM104" s="15">
        <f>Tabla13[[#This Row],[Calculated HGA_(Ph1)^H]]/Tabla13[[#This Row],[Real HGA_(Ph1)^H]]</f>
        <v>0.99997402684140413</v>
      </c>
      <c r="AU104"/>
      <c r="AV104"/>
      <c r="AW104"/>
    </row>
    <row r="105" spans="1:49">
      <c r="A105" s="6" t="str">
        <f t="shared" si="27"/>
        <v>soykb</v>
      </c>
      <c r="B105" t="s">
        <v>22</v>
      </c>
      <c r="C105">
        <f>_xlfn.XLOOKUP(B105,Instances!$B$2:$B$29,Instances!$A$2:$A$29,,0,1)</f>
        <v>96</v>
      </c>
      <c r="D105">
        <v>8</v>
      </c>
      <c r="E105">
        <v>5175.8900000000003</v>
      </c>
      <c r="F105">
        <v>4062.64</v>
      </c>
      <c r="G105">
        <v>5101.1610000000001</v>
      </c>
      <c r="H105">
        <v>4049.114</v>
      </c>
      <c r="I105">
        <v>3980.3610000000008</v>
      </c>
      <c r="J105">
        <v>4194.6349999999993</v>
      </c>
      <c r="K105">
        <v>4034.9459999999999</v>
      </c>
      <c r="L105">
        <v>3970.404</v>
      </c>
      <c r="M105">
        <v>4062.64</v>
      </c>
      <c r="N105" s="13">
        <f t="shared" si="28"/>
        <v>0.21508378269244524</v>
      </c>
      <c r="O105" s="13">
        <f t="shared" si="29"/>
        <v>1.4437903433032825E-2</v>
      </c>
      <c r="P105" s="13">
        <f t="shared" si="30"/>
        <v>0.21769705306720202</v>
      </c>
      <c r="Q105" s="13">
        <f t="shared" si="31"/>
        <v>0.23098037245768349</v>
      </c>
      <c r="R105" s="13">
        <f t="shared" si="32"/>
        <v>0.18958188833224837</v>
      </c>
      <c r="S105" s="13">
        <f t="shared" si="33"/>
        <v>0.22043436008106826</v>
      </c>
      <c r="T105" s="13">
        <f t="shared" si="34"/>
        <v>0.23290409958480576</v>
      </c>
      <c r="U105" s="7">
        <f t="shared" si="35"/>
        <v>0.21508378269244524</v>
      </c>
      <c r="V105">
        <v>3612.15</v>
      </c>
      <c r="W105">
        <v>4062.48</v>
      </c>
      <c r="X105">
        <v>3583.07</v>
      </c>
      <c r="Y105">
        <v>4048.9760000000001</v>
      </c>
      <c r="Z105">
        <v>3980.221</v>
      </c>
      <c r="AA105">
        <v>4194.4970000000003</v>
      </c>
      <c r="AB105">
        <v>4034.81</v>
      </c>
      <c r="AC105">
        <v>3970.253999999999</v>
      </c>
      <c r="AD105">
        <v>4062.48</v>
      </c>
      <c r="AE105" s="14">
        <f>Tabla13[[#This Row],[Calculated HEFT_NC]]/Tabla13[[#This Row],[Real HEFT_NC]]</f>
        <v>0.6978799781293652</v>
      </c>
      <c r="AF105" s="14">
        <f>Tabla13[[#This Row],[Calculated HEFT_DNC]]/Tabla13[[#This Row],[Real HEFT_DNC]]</f>
        <v>0.99996061674182313</v>
      </c>
      <c r="AG105" s="14">
        <f>Tabla13[[#This Row],[Calculated GA_NC]]/Tabla13[[#This Row],[Real GA_NC]]</f>
        <v>0.70240284515623019</v>
      </c>
      <c r="AH105" s="15">
        <f>Tabla13[[#This Row],[Calculated GA_DNC]]/Tabla13[[#This Row],[Real GA_DNC]]</f>
        <v>0.99996591847006533</v>
      </c>
      <c r="AI105" s="15">
        <f>Tabla13[[#This Row],[Calculated HGA_(Ph2)]]/Tabla13[[#This Row],[Real HGA_(Ph2)]]</f>
        <v>0.99996482731088943</v>
      </c>
      <c r="AJ105" s="15">
        <f>Tabla13[[#This Row],[Calculated HGA_(Ph1)]]/Tabla13[[#This Row],[Real HGA_(Ph1)]]</f>
        <v>0.99996710083237306</v>
      </c>
      <c r="AK105" s="15">
        <f>Tabla13[[#This Row],[Calculated HGA^H]]/Tabla13[[#This Row],[Real GA^H]]</f>
        <v>0.99996629446837704</v>
      </c>
      <c r="AL105" s="15">
        <f>Tabla13[[#This Row],[Calculated HGA_(Ph2)^H]]/Tabla13[[#This Row],[Real HGA_(Ph2)^H]]</f>
        <v>0.99996222046925176</v>
      </c>
      <c r="AM105" s="15">
        <f>Tabla13[[#This Row],[Calculated HGA_(Ph1)^H]]/Tabla13[[#This Row],[Real HGA_(Ph1)^H]]</f>
        <v>0.99996061674182313</v>
      </c>
      <c r="AU105"/>
      <c r="AV105"/>
      <c r="AW105"/>
    </row>
    <row r="106" spans="1:49">
      <c r="A106" s="6" t="str">
        <f t="shared" si="27"/>
        <v>soykb</v>
      </c>
      <c r="B106" t="s">
        <v>22</v>
      </c>
      <c r="C106">
        <f>_xlfn.XLOOKUP(B106,Instances!$B$2:$B$29,Instances!$A$2:$A$29,,0,1)</f>
        <v>96</v>
      </c>
      <c r="D106">
        <v>16</v>
      </c>
      <c r="E106">
        <v>4157.9400000000014</v>
      </c>
      <c r="F106">
        <v>3465.15</v>
      </c>
      <c r="G106">
        <v>4165.8540000000003</v>
      </c>
      <c r="H106">
        <v>3417.284000000001</v>
      </c>
      <c r="I106">
        <v>3376.8780000000002</v>
      </c>
      <c r="J106">
        <v>3591.3560000000002</v>
      </c>
      <c r="K106">
        <v>3445.81</v>
      </c>
      <c r="L106">
        <v>3378.7539999999999</v>
      </c>
      <c r="M106">
        <v>3465.15</v>
      </c>
      <c r="N106" s="13">
        <f t="shared" si="28"/>
        <v>0.16661856592447247</v>
      </c>
      <c r="O106" s="13">
        <f t="shared" si="29"/>
        <v>-1.9033463686341909E-3</v>
      </c>
      <c r="P106" s="13">
        <f t="shared" si="30"/>
        <v>0.17813051655387047</v>
      </c>
      <c r="Q106" s="13">
        <f t="shared" si="31"/>
        <v>0.18784830949941581</v>
      </c>
      <c r="R106" s="13">
        <f t="shared" si="32"/>
        <v>0.13626555457750736</v>
      </c>
      <c r="S106" s="13">
        <f t="shared" si="33"/>
        <v>0.17126990769467604</v>
      </c>
      <c r="T106" s="13">
        <f t="shared" si="34"/>
        <v>0.18739712453763191</v>
      </c>
      <c r="U106" s="7">
        <f t="shared" si="35"/>
        <v>0.16661856592447247</v>
      </c>
      <c r="V106">
        <v>3186.46</v>
      </c>
      <c r="W106">
        <v>3465.0100000000011</v>
      </c>
      <c r="X106">
        <v>3169.127</v>
      </c>
      <c r="Y106">
        <v>3417.1790000000001</v>
      </c>
      <c r="Z106">
        <v>3376.7919999999999</v>
      </c>
      <c r="AA106">
        <v>3591.2460000000001</v>
      </c>
      <c r="AB106">
        <v>3445.7089999999998</v>
      </c>
      <c r="AC106">
        <v>3378.6619999999998</v>
      </c>
      <c r="AD106">
        <v>3465.0100000000011</v>
      </c>
      <c r="AE106" s="14">
        <f>Tabla13[[#This Row],[Calculated HEFT_NC]]/Tabla13[[#This Row],[Real HEFT_NC]]</f>
        <v>0.76635545486466827</v>
      </c>
      <c r="AF106" s="14">
        <f>Tabla13[[#This Row],[Calculated HEFT_DNC]]/Tabla13[[#This Row],[Real HEFT_DNC]]</f>
        <v>0.9999595977086132</v>
      </c>
      <c r="AG106" s="14">
        <f>Tabla13[[#This Row],[Calculated GA_NC]]/Tabla13[[#This Row],[Real GA_NC]]</f>
        <v>0.76073885450618284</v>
      </c>
      <c r="AH106" s="15">
        <f>Tabla13[[#This Row],[Calculated GA_DNC]]/Tabla13[[#This Row],[Real GA_DNC]]</f>
        <v>0.9999692738443744</v>
      </c>
      <c r="AI106" s="15">
        <f>Tabla13[[#This Row],[Calculated HGA_(Ph2)]]/Tabla13[[#This Row],[Real HGA_(Ph2)]]</f>
        <v>0.99997453268966185</v>
      </c>
      <c r="AJ106" s="15">
        <f>Tabla13[[#This Row],[Calculated HGA_(Ph1)]]/Tabla13[[#This Row],[Real HGA_(Ph1)]]</f>
        <v>0.99996937090057347</v>
      </c>
      <c r="AK106" s="15">
        <f>Tabla13[[#This Row],[Calculated HGA^H]]/Tabla13[[#This Row],[Real GA^H]]</f>
        <v>0.9999706890397323</v>
      </c>
      <c r="AL106" s="15">
        <f>Tabla13[[#This Row],[Calculated HGA_(Ph2)^H]]/Tabla13[[#This Row],[Real HGA_(Ph2)^H]]</f>
        <v>0.9999727710274261</v>
      </c>
      <c r="AM106" s="15">
        <f>Tabla13[[#This Row],[Calculated HGA_(Ph1)^H]]/Tabla13[[#This Row],[Real HGA_(Ph1)^H]]</f>
        <v>0.9999595977086132</v>
      </c>
      <c r="AU106"/>
      <c r="AV106"/>
      <c r="AW106"/>
    </row>
    <row r="107" spans="1:49">
      <c r="A107" s="6" t="str">
        <f t="shared" si="27"/>
        <v>soykb</v>
      </c>
      <c r="B107" t="s">
        <v>23</v>
      </c>
      <c r="C107">
        <f>_xlfn.XLOOKUP(B107,Instances!$B$2:$B$29,Instances!$A$2:$A$29,,0,1)</f>
        <v>156</v>
      </c>
      <c r="D107">
        <v>1</v>
      </c>
      <c r="E107">
        <v>44365</v>
      </c>
      <c r="F107">
        <v>44365</v>
      </c>
      <c r="G107">
        <v>44365</v>
      </c>
      <c r="H107">
        <v>44365</v>
      </c>
      <c r="I107">
        <v>44365</v>
      </c>
      <c r="J107">
        <v>44365</v>
      </c>
      <c r="K107">
        <v>44365</v>
      </c>
      <c r="L107">
        <v>44365</v>
      </c>
      <c r="M107">
        <v>44365</v>
      </c>
      <c r="N107" s="13">
        <f t="shared" si="28"/>
        <v>0</v>
      </c>
      <c r="O107" s="13">
        <f t="shared" si="29"/>
        <v>0</v>
      </c>
      <c r="P107" s="13">
        <f t="shared" si="30"/>
        <v>0</v>
      </c>
      <c r="Q107" s="13">
        <f t="shared" si="31"/>
        <v>0</v>
      </c>
      <c r="R107" s="13">
        <f t="shared" si="32"/>
        <v>0</v>
      </c>
      <c r="S107" s="13">
        <f t="shared" si="33"/>
        <v>0</v>
      </c>
      <c r="T107" s="13">
        <f t="shared" si="34"/>
        <v>0</v>
      </c>
      <c r="U107" s="7">
        <f t="shared" si="35"/>
        <v>0</v>
      </c>
      <c r="V107">
        <v>24451.3</v>
      </c>
      <c r="W107">
        <v>44364.7</v>
      </c>
      <c r="X107">
        <v>24451.3</v>
      </c>
      <c r="Y107">
        <v>44364.7</v>
      </c>
      <c r="Z107">
        <v>44364.7</v>
      </c>
      <c r="AA107">
        <v>44364.7</v>
      </c>
      <c r="AB107">
        <v>44364.7</v>
      </c>
      <c r="AC107">
        <v>44364.7</v>
      </c>
      <c r="AD107">
        <v>44364.7</v>
      </c>
      <c r="AE107" s="14">
        <f>Tabla13[[#This Row],[Calculated HEFT_NC]]/Tabla13[[#This Row],[Real HEFT_NC]]</f>
        <v>0.55113941169841085</v>
      </c>
      <c r="AF107" s="14">
        <f>Tabla13[[#This Row],[Calculated HEFT_DNC]]/Tabla13[[#This Row],[Real HEFT_DNC]]</f>
        <v>0.99999323791276906</v>
      </c>
      <c r="AG107" s="14">
        <f>Tabla13[[#This Row],[Calculated GA_NC]]/Tabla13[[#This Row],[Real GA_NC]]</f>
        <v>0.55113941169841085</v>
      </c>
      <c r="AH107" s="15">
        <f>Tabla13[[#This Row],[Calculated GA_DNC]]/Tabla13[[#This Row],[Real GA_DNC]]</f>
        <v>0.99999323791276906</v>
      </c>
      <c r="AI107" s="15">
        <f>Tabla13[[#This Row],[Calculated HGA_(Ph2)]]/Tabla13[[#This Row],[Real HGA_(Ph2)]]</f>
        <v>0.99999323791276906</v>
      </c>
      <c r="AJ107" s="15">
        <f>Tabla13[[#This Row],[Calculated HGA_(Ph1)]]/Tabla13[[#This Row],[Real HGA_(Ph1)]]</f>
        <v>0.99999323791276906</v>
      </c>
      <c r="AK107" s="15">
        <f>Tabla13[[#This Row],[Calculated HGA^H]]/Tabla13[[#This Row],[Real GA^H]]</f>
        <v>0.99999323791276906</v>
      </c>
      <c r="AL107" s="15">
        <f>Tabla13[[#This Row],[Calculated HGA_(Ph2)^H]]/Tabla13[[#This Row],[Real HGA_(Ph2)^H]]</f>
        <v>0.99999323791276906</v>
      </c>
      <c r="AM107" s="15">
        <f>Tabla13[[#This Row],[Calculated HGA_(Ph1)^H]]/Tabla13[[#This Row],[Real HGA_(Ph1)^H]]</f>
        <v>0.99999323791276906</v>
      </c>
      <c r="AU107"/>
      <c r="AV107"/>
      <c r="AW107"/>
    </row>
    <row r="108" spans="1:49">
      <c r="A108" s="6" t="str">
        <f t="shared" si="27"/>
        <v>soykb</v>
      </c>
      <c r="B108" t="s">
        <v>23</v>
      </c>
      <c r="C108">
        <f>_xlfn.XLOOKUP(B108,Instances!$B$2:$B$29,Instances!$A$2:$A$29,,0,1)</f>
        <v>156</v>
      </c>
      <c r="D108">
        <v>2</v>
      </c>
      <c r="E108">
        <v>22889.9</v>
      </c>
      <c r="F108">
        <v>18056.8</v>
      </c>
      <c r="G108">
        <v>22929.040000000001</v>
      </c>
      <c r="H108">
        <v>17739.990000000002</v>
      </c>
      <c r="I108">
        <v>17689.419999999998</v>
      </c>
      <c r="J108">
        <v>18082.8</v>
      </c>
      <c r="K108">
        <v>17806.22</v>
      </c>
      <c r="L108">
        <v>17683.25</v>
      </c>
      <c r="M108">
        <v>17976.77</v>
      </c>
      <c r="N108" s="13">
        <f t="shared" si="28"/>
        <v>0.21114552706652287</v>
      </c>
      <c r="O108" s="13">
        <f t="shared" si="29"/>
        <v>-1.7099244645017854E-3</v>
      </c>
      <c r="P108" s="13">
        <f t="shared" si="30"/>
        <v>0.22498612925351355</v>
      </c>
      <c r="Q108" s="13">
        <f t="shared" si="31"/>
        <v>0.2271954005915274</v>
      </c>
      <c r="R108" s="13">
        <f t="shared" si="32"/>
        <v>0.21000965491330245</v>
      </c>
      <c r="S108" s="13">
        <f t="shared" si="33"/>
        <v>0.22209271338013709</v>
      </c>
      <c r="T108" s="13">
        <f t="shared" si="34"/>
        <v>0.22746495179096463</v>
      </c>
      <c r="U108" s="7">
        <f t="shared" si="35"/>
        <v>0.21464182892891628</v>
      </c>
      <c r="V108">
        <v>14699.4</v>
      </c>
      <c r="W108">
        <v>18056.2</v>
      </c>
      <c r="X108">
        <v>14682.79</v>
      </c>
      <c r="Y108">
        <v>17739.560000000001</v>
      </c>
      <c r="Z108">
        <v>17689</v>
      </c>
      <c r="AA108">
        <v>18082.310000000001</v>
      </c>
      <c r="AB108">
        <v>17805.75</v>
      </c>
      <c r="AC108">
        <v>17682.84</v>
      </c>
      <c r="AD108">
        <v>17976.3</v>
      </c>
      <c r="AE108" s="14">
        <f>Tabla13[[#This Row],[Calculated HEFT_NC]]/Tabla13[[#This Row],[Real HEFT_NC]]</f>
        <v>0.64217842804031466</v>
      </c>
      <c r="AF108" s="14">
        <f>Tabla13[[#This Row],[Calculated HEFT_DNC]]/Tabla13[[#This Row],[Real HEFT_DNC]]</f>
        <v>0.99996677152097835</v>
      </c>
      <c r="AG108" s="14">
        <f>Tabla13[[#This Row],[Calculated GA_NC]]/Tabla13[[#This Row],[Real GA_NC]]</f>
        <v>0.64035781698666849</v>
      </c>
      <c r="AH108" s="15">
        <f>Tabla13[[#This Row],[Calculated GA_DNC]]/Tabla13[[#This Row],[Real GA_DNC]]</f>
        <v>0.99997576097844476</v>
      </c>
      <c r="AI108" s="15">
        <f>Tabla13[[#This Row],[Calculated HGA_(Ph2)]]/Tabla13[[#This Row],[Real HGA_(Ph2)]]</f>
        <v>0.99997625699429382</v>
      </c>
      <c r="AJ108" s="15">
        <f>Tabla13[[#This Row],[Calculated HGA_(Ph1)]]/Tabla13[[#This Row],[Real HGA_(Ph1)]]</f>
        <v>0.99997290242661541</v>
      </c>
      <c r="AK108" s="15">
        <f>Tabla13[[#This Row],[Calculated HGA^H]]/Tabla13[[#This Row],[Real GA^H]]</f>
        <v>0.99997360472913388</v>
      </c>
      <c r="AL108" s="15">
        <f>Tabla13[[#This Row],[Calculated HGA_(Ph2)^H]]/Tabla13[[#This Row],[Real HGA_(Ph2)^H]]</f>
        <v>0.99997681421684359</v>
      </c>
      <c r="AM108" s="15">
        <f>Tabla13[[#This Row],[Calculated HGA_(Ph1)^H]]/Tabla13[[#This Row],[Real HGA_(Ph1)^H]]</f>
        <v>0.99997385514750414</v>
      </c>
      <c r="AU108"/>
      <c r="AV108"/>
      <c r="AW108"/>
    </row>
    <row r="109" spans="1:49">
      <c r="A109" s="6" t="str">
        <f t="shared" si="27"/>
        <v>soykb</v>
      </c>
      <c r="B109" t="s">
        <v>23</v>
      </c>
      <c r="C109">
        <f>_xlfn.XLOOKUP(B109,Instances!$B$2:$B$29,Instances!$A$2:$A$29,,0,1)</f>
        <v>156</v>
      </c>
      <c r="D109">
        <v>4</v>
      </c>
      <c r="E109">
        <v>15145.7</v>
      </c>
      <c r="F109">
        <v>12786.1</v>
      </c>
      <c r="G109">
        <v>15376.51</v>
      </c>
      <c r="H109">
        <v>12677.54</v>
      </c>
      <c r="I109">
        <v>12589.44</v>
      </c>
      <c r="J109">
        <v>12987.09</v>
      </c>
      <c r="K109">
        <v>12681.23</v>
      </c>
      <c r="L109">
        <v>12597.69</v>
      </c>
      <c r="M109">
        <v>12786.1</v>
      </c>
      <c r="N109" s="13">
        <f t="shared" si="28"/>
        <v>0.155793393504427</v>
      </c>
      <c r="O109" s="13">
        <f t="shared" si="29"/>
        <v>-1.5239308846735343E-2</v>
      </c>
      <c r="P109" s="13">
        <f t="shared" si="30"/>
        <v>0.1629611044718963</v>
      </c>
      <c r="Q109" s="13">
        <f t="shared" si="31"/>
        <v>0.16877793697220994</v>
      </c>
      <c r="R109" s="13">
        <f t="shared" si="32"/>
        <v>0.14252296031216785</v>
      </c>
      <c r="S109" s="13">
        <f t="shared" si="33"/>
        <v>0.16271747096535658</v>
      </c>
      <c r="T109" s="13">
        <f t="shared" si="34"/>
        <v>0.16823322791287296</v>
      </c>
      <c r="U109" s="7">
        <f t="shared" si="35"/>
        <v>0.155793393504427</v>
      </c>
      <c r="V109">
        <v>11069.1</v>
      </c>
      <c r="W109">
        <v>12785.8</v>
      </c>
      <c r="X109">
        <v>11072.07</v>
      </c>
      <c r="Y109">
        <v>12677.18</v>
      </c>
      <c r="Z109">
        <v>12589.1</v>
      </c>
      <c r="AA109">
        <v>12986.71</v>
      </c>
      <c r="AB109">
        <v>12680.84</v>
      </c>
      <c r="AC109">
        <v>12597.32</v>
      </c>
      <c r="AD109">
        <v>12785.8</v>
      </c>
      <c r="AE109" s="14">
        <f>Tabla13[[#This Row],[Calculated HEFT_NC]]/Tabla13[[#This Row],[Real HEFT_NC]]</f>
        <v>0.73084109681295684</v>
      </c>
      <c r="AF109" s="14">
        <f>Tabla13[[#This Row],[Calculated HEFT_DNC]]/Tabla13[[#This Row],[Real HEFT_DNC]]</f>
        <v>0.9999765370206708</v>
      </c>
      <c r="AG109" s="14">
        <f>Tabla13[[#This Row],[Calculated GA_NC]]/Tabla13[[#This Row],[Real GA_NC]]</f>
        <v>0.72006391567397277</v>
      </c>
      <c r="AH109" s="15">
        <f>Tabla13[[#This Row],[Calculated GA_DNC]]/Tabla13[[#This Row],[Real GA_DNC]]</f>
        <v>0.99997160332367319</v>
      </c>
      <c r="AI109" s="15">
        <f>Tabla13[[#This Row],[Calculated HGA_(Ph2)]]/Tabla13[[#This Row],[Real HGA_(Ph2)]]</f>
        <v>0.99997299323877786</v>
      </c>
      <c r="AJ109" s="15">
        <f>Tabla13[[#This Row],[Calculated HGA_(Ph1)]]/Tabla13[[#This Row],[Real HGA_(Ph1)]]</f>
        <v>0.99997074017351073</v>
      </c>
      <c r="AK109" s="15">
        <f>Tabla13[[#This Row],[Calculated HGA^H]]/Tabla13[[#This Row],[Real GA^H]]</f>
        <v>0.99996924588545433</v>
      </c>
      <c r="AL109" s="15">
        <f>Tabla13[[#This Row],[Calculated HGA_(Ph2)^H]]/Tabla13[[#This Row],[Real HGA_(Ph2)^H]]</f>
        <v>0.99997062953604976</v>
      </c>
      <c r="AM109" s="15">
        <f>Tabla13[[#This Row],[Calculated HGA_(Ph1)^H]]/Tabla13[[#This Row],[Real HGA_(Ph1)^H]]</f>
        <v>0.9999765370206708</v>
      </c>
      <c r="AU109"/>
      <c r="AV109"/>
      <c r="AW109"/>
    </row>
    <row r="110" spans="1:49">
      <c r="A110" s="6" t="str">
        <f t="shared" si="27"/>
        <v>soykb</v>
      </c>
      <c r="B110" t="s">
        <v>23</v>
      </c>
      <c r="C110">
        <f>_xlfn.XLOOKUP(B110,Instances!$B$2:$B$29,Instances!$A$2:$A$29,,0,1)</f>
        <v>156</v>
      </c>
      <c r="D110">
        <v>8</v>
      </c>
      <c r="E110">
        <v>11764.5</v>
      </c>
      <c r="F110">
        <v>10184.6</v>
      </c>
      <c r="G110">
        <v>11734.98</v>
      </c>
      <c r="H110">
        <v>10169.94</v>
      </c>
      <c r="I110">
        <v>10085.84</v>
      </c>
      <c r="J110">
        <v>10388.67</v>
      </c>
      <c r="K110">
        <v>10166.02</v>
      </c>
      <c r="L110">
        <v>10069.700000000001</v>
      </c>
      <c r="M110">
        <v>10184.6</v>
      </c>
      <c r="N110" s="13">
        <f t="shared" si="28"/>
        <v>0.13429385014237746</v>
      </c>
      <c r="O110" s="13">
        <f t="shared" si="29"/>
        <v>2.5092439117684931E-3</v>
      </c>
      <c r="P110" s="13">
        <f t="shared" si="30"/>
        <v>0.13553997194950906</v>
      </c>
      <c r="Q110" s="13">
        <f t="shared" si="31"/>
        <v>0.14268859705044837</v>
      </c>
      <c r="R110" s="13">
        <f t="shared" si="32"/>
        <v>0.1169475965829402</v>
      </c>
      <c r="S110" s="13">
        <f t="shared" si="33"/>
        <v>0.13587317778061112</v>
      </c>
      <c r="T110" s="13">
        <f t="shared" si="34"/>
        <v>0.14406052105911848</v>
      </c>
      <c r="U110" s="7">
        <f t="shared" si="35"/>
        <v>0.13429385014237746</v>
      </c>
      <c r="V110">
        <v>9356.61</v>
      </c>
      <c r="W110">
        <v>10184.299999999999</v>
      </c>
      <c r="X110">
        <v>9321.6769999999997</v>
      </c>
      <c r="Y110">
        <v>10169.69</v>
      </c>
      <c r="Z110">
        <v>10085.6</v>
      </c>
      <c r="AA110">
        <v>10388.39</v>
      </c>
      <c r="AB110">
        <v>10165.74</v>
      </c>
      <c r="AC110">
        <v>10069.41</v>
      </c>
      <c r="AD110">
        <v>10184.299999999999</v>
      </c>
      <c r="AE110" s="14">
        <f>Tabla13[[#This Row],[Calculated HEFT_NC]]/Tabla13[[#This Row],[Real HEFT_NC]]</f>
        <v>0.79532576820094358</v>
      </c>
      <c r="AF110" s="14">
        <f>Tabla13[[#This Row],[Calculated HEFT_DNC]]/Tabla13[[#This Row],[Real HEFT_DNC]]</f>
        <v>0.99997054376215055</v>
      </c>
      <c r="AG110" s="14">
        <f>Tabla13[[#This Row],[Calculated GA_NC]]/Tabla13[[#This Row],[Real GA_NC]]</f>
        <v>0.79434962820558708</v>
      </c>
      <c r="AH110" s="15">
        <f>Tabla13[[#This Row],[Calculated GA_DNC]]/Tabla13[[#This Row],[Real GA_DNC]]</f>
        <v>0.99997541775074383</v>
      </c>
      <c r="AI110" s="15">
        <f>Tabla13[[#This Row],[Calculated HGA_(Ph2)]]/Tabla13[[#This Row],[Real HGA_(Ph2)]]</f>
        <v>0.9999762042626098</v>
      </c>
      <c r="AJ110" s="15">
        <f>Tabla13[[#This Row],[Calculated HGA_(Ph1)]]/Tabla13[[#This Row],[Real HGA_(Ph1)]]</f>
        <v>0.99997304756046723</v>
      </c>
      <c r="AK110" s="15">
        <f>Tabla13[[#This Row],[Calculated HGA^H]]/Tabla13[[#This Row],[Real GA^H]]</f>
        <v>0.9999724572644948</v>
      </c>
      <c r="AL110" s="15">
        <f>Tabla13[[#This Row],[Calculated HGA_(Ph2)^H]]/Tabla13[[#This Row],[Real HGA_(Ph2)^H]]</f>
        <v>0.99997120073090551</v>
      </c>
      <c r="AM110" s="15">
        <f>Tabla13[[#This Row],[Calculated HGA_(Ph1)^H]]/Tabla13[[#This Row],[Real HGA_(Ph1)^H]]</f>
        <v>0.99997054376215055</v>
      </c>
      <c r="AU110"/>
      <c r="AV110"/>
      <c r="AW110"/>
    </row>
    <row r="111" spans="1:49">
      <c r="A111" s="6" t="str">
        <f t="shared" si="27"/>
        <v>soykb</v>
      </c>
      <c r="B111" t="s">
        <v>23</v>
      </c>
      <c r="C111">
        <f>_xlfn.XLOOKUP(B111,Instances!$B$2:$B$29,Instances!$A$2:$A$29,,0,1)</f>
        <v>156</v>
      </c>
      <c r="D111">
        <v>16</v>
      </c>
      <c r="E111">
        <v>9916.75</v>
      </c>
      <c r="F111">
        <v>8972.2400000000016</v>
      </c>
      <c r="G111">
        <v>9882.1389999999992</v>
      </c>
      <c r="H111">
        <v>8940.6139999999996</v>
      </c>
      <c r="I111">
        <v>8849.4310000000005</v>
      </c>
      <c r="J111">
        <v>9113.3339999999989</v>
      </c>
      <c r="K111">
        <v>8924.1710000000003</v>
      </c>
      <c r="L111">
        <v>8865.1739999999991</v>
      </c>
      <c r="M111">
        <v>8972.2400000000016</v>
      </c>
      <c r="N111" s="13">
        <f t="shared" si="28"/>
        <v>9.5243905513398883E-2</v>
      </c>
      <c r="O111" s="13">
        <f t="shared" si="29"/>
        <v>3.4901555449114666E-3</v>
      </c>
      <c r="P111" s="13">
        <f t="shared" si="30"/>
        <v>9.8433055184410256E-2</v>
      </c>
      <c r="Q111" s="13">
        <f t="shared" si="31"/>
        <v>0.10762790228653536</v>
      </c>
      <c r="R111" s="13">
        <f t="shared" si="32"/>
        <v>8.1016058688582554E-2</v>
      </c>
      <c r="S111" s="13">
        <f t="shared" si="33"/>
        <v>0.10009115889782436</v>
      </c>
      <c r="T111" s="13">
        <f t="shared" si="34"/>
        <v>0.10604038621524198</v>
      </c>
      <c r="U111" s="7">
        <f t="shared" si="35"/>
        <v>9.5243905513398883E-2</v>
      </c>
      <c r="V111">
        <v>8509.7999999999993</v>
      </c>
      <c r="W111">
        <v>8971.9699999999993</v>
      </c>
      <c r="X111">
        <v>8479.3389999999999</v>
      </c>
      <c r="Y111">
        <v>8940.3889999999992</v>
      </c>
      <c r="Z111">
        <v>8849.1910000000007</v>
      </c>
      <c r="AA111">
        <v>9113.1059999999998</v>
      </c>
      <c r="AB111">
        <v>8923.9310000000005</v>
      </c>
      <c r="AC111">
        <v>8864.9399999999987</v>
      </c>
      <c r="AD111">
        <v>8971.9699999999993</v>
      </c>
      <c r="AE111" s="14">
        <f>Tabla13[[#This Row],[Calculated HEFT_NC]]/Tabla13[[#This Row],[Real HEFT_NC]]</f>
        <v>0.85812388131192163</v>
      </c>
      <c r="AF111" s="14">
        <f>Tabla13[[#This Row],[Calculated HEFT_DNC]]/Tabla13[[#This Row],[Real HEFT_DNC]]</f>
        <v>0.99996990718036938</v>
      </c>
      <c r="AG111" s="14">
        <f>Tabla13[[#This Row],[Calculated GA_NC]]/Tabla13[[#This Row],[Real GA_NC]]</f>
        <v>0.85804692688495887</v>
      </c>
      <c r="AH111" s="15">
        <f>Tabla13[[#This Row],[Calculated GA_DNC]]/Tabla13[[#This Row],[Real GA_DNC]]</f>
        <v>0.9999748339431721</v>
      </c>
      <c r="AI111" s="15">
        <f>Tabla13[[#This Row],[Calculated HGA_(Ph2)]]/Tabla13[[#This Row],[Real HGA_(Ph2)]]</f>
        <v>0.99997287961225989</v>
      </c>
      <c r="AJ111" s="15">
        <f>Tabla13[[#This Row],[Calculated HGA_(Ph1)]]/Tabla13[[#This Row],[Real HGA_(Ph1)]]</f>
        <v>0.99997498171360788</v>
      </c>
      <c r="AK111" s="15">
        <f>Tabla13[[#This Row],[Calculated HGA^H]]/Tabla13[[#This Row],[Real GA^H]]</f>
        <v>0.99997310674571338</v>
      </c>
      <c r="AL111" s="15">
        <f>Tabla13[[#This Row],[Calculated HGA_(Ph2)^H]]/Tabla13[[#This Row],[Real HGA_(Ph2)^H]]</f>
        <v>0.99997360457899642</v>
      </c>
      <c r="AM111" s="15">
        <f>Tabla13[[#This Row],[Calculated HGA_(Ph1)^H]]/Tabla13[[#This Row],[Real HGA_(Ph1)^H]]</f>
        <v>0.99996990718036938</v>
      </c>
      <c r="AU111"/>
      <c r="AV111"/>
      <c r="AW111"/>
    </row>
    <row r="112" spans="1:49">
      <c r="A112" s="6" t="str">
        <f t="shared" si="27"/>
        <v>soykb</v>
      </c>
      <c r="B112" t="s">
        <v>24</v>
      </c>
      <c r="C112">
        <f>_xlfn.XLOOKUP(B112,Instances!$B$2:$B$29,Instances!$A$2:$A$29,,0,1)</f>
        <v>256</v>
      </c>
      <c r="D112">
        <v>1</v>
      </c>
      <c r="E112">
        <v>63835.19999999999</v>
      </c>
      <c r="F112">
        <v>63835.19999999999</v>
      </c>
      <c r="G112">
        <v>63835.19999999999</v>
      </c>
      <c r="H112">
        <v>63835.19999999999</v>
      </c>
      <c r="I112">
        <v>63835.19999999999</v>
      </c>
      <c r="J112">
        <v>63835.19999999999</v>
      </c>
      <c r="K112">
        <v>63835.19999999999</v>
      </c>
      <c r="L112">
        <v>63835.19999999999</v>
      </c>
      <c r="M112">
        <v>63835.19999999999</v>
      </c>
      <c r="N112" s="13">
        <f t="shared" si="28"/>
        <v>0</v>
      </c>
      <c r="O112" s="13">
        <f t="shared" si="29"/>
        <v>0</v>
      </c>
      <c r="P112" s="13">
        <f t="shared" si="30"/>
        <v>0</v>
      </c>
      <c r="Q112" s="13">
        <f t="shared" si="31"/>
        <v>0</v>
      </c>
      <c r="R112" s="13">
        <f t="shared" si="32"/>
        <v>0</v>
      </c>
      <c r="S112" s="13">
        <f t="shared" si="33"/>
        <v>0</v>
      </c>
      <c r="T112" s="13">
        <f t="shared" si="34"/>
        <v>0</v>
      </c>
      <c r="U112" s="7">
        <f t="shared" si="35"/>
        <v>0</v>
      </c>
      <c r="V112">
        <v>33912.099999999991</v>
      </c>
      <c r="W112">
        <v>63834.69999999999</v>
      </c>
      <c r="X112">
        <v>33912.099999999991</v>
      </c>
      <c r="Y112">
        <v>63834.69999999999</v>
      </c>
      <c r="Z112">
        <v>63834.69999999999</v>
      </c>
      <c r="AA112">
        <v>63834.69999999999</v>
      </c>
      <c r="AB112">
        <v>63834.69999999999</v>
      </c>
      <c r="AC112">
        <v>63834.69999999999</v>
      </c>
      <c r="AD112">
        <v>63834.69999999999</v>
      </c>
      <c r="AE112" s="14">
        <f>Tabla13[[#This Row],[Calculated HEFT_NC]]/Tabla13[[#This Row],[Real HEFT_NC]]</f>
        <v>0.5312445171316138</v>
      </c>
      <c r="AF112" s="14">
        <f>Tabla13[[#This Row],[Calculated HEFT_DNC]]/Tabla13[[#This Row],[Real HEFT_DNC]]</f>
        <v>0.99999216733087704</v>
      </c>
      <c r="AG112" s="14">
        <f>Tabla13[[#This Row],[Calculated GA_NC]]/Tabla13[[#This Row],[Real GA_NC]]</f>
        <v>0.5312445171316138</v>
      </c>
      <c r="AH112" s="15">
        <f>Tabla13[[#This Row],[Calculated GA_DNC]]/Tabla13[[#This Row],[Real GA_DNC]]</f>
        <v>0.99999216733087704</v>
      </c>
      <c r="AI112" s="15">
        <f>Tabla13[[#This Row],[Calculated HGA_(Ph2)]]/Tabla13[[#This Row],[Real HGA_(Ph2)]]</f>
        <v>0.99999216733087704</v>
      </c>
      <c r="AJ112" s="15">
        <f>Tabla13[[#This Row],[Calculated HGA_(Ph1)]]/Tabla13[[#This Row],[Real HGA_(Ph1)]]</f>
        <v>0.99999216733087704</v>
      </c>
      <c r="AK112" s="15">
        <f>Tabla13[[#This Row],[Calculated HGA^H]]/Tabla13[[#This Row],[Real GA^H]]</f>
        <v>0.99999216733087704</v>
      </c>
      <c r="AL112" s="15">
        <f>Tabla13[[#This Row],[Calculated HGA_(Ph2)^H]]/Tabla13[[#This Row],[Real HGA_(Ph2)^H]]</f>
        <v>0.99999216733087704</v>
      </c>
      <c r="AM112" s="15">
        <f>Tabla13[[#This Row],[Calculated HGA_(Ph1)^H]]/Tabla13[[#This Row],[Real HGA_(Ph1)^H]]</f>
        <v>0.99999216733087704</v>
      </c>
      <c r="AU112"/>
      <c r="AV112"/>
      <c r="AW112"/>
    </row>
    <row r="113" spans="1:49">
      <c r="A113" s="6" t="str">
        <f t="shared" si="27"/>
        <v>soykb</v>
      </c>
      <c r="B113" t="s">
        <v>24</v>
      </c>
      <c r="C113">
        <f>_xlfn.XLOOKUP(B113,Instances!$B$2:$B$29,Instances!$A$2:$A$29,,0,1)</f>
        <v>256</v>
      </c>
      <c r="D113">
        <v>2</v>
      </c>
      <c r="E113">
        <v>32849.199999999997</v>
      </c>
      <c r="F113">
        <v>24254.1</v>
      </c>
      <c r="G113">
        <v>32761.68</v>
      </c>
      <c r="H113">
        <v>24193.78</v>
      </c>
      <c r="I113">
        <v>23732.41</v>
      </c>
      <c r="J113">
        <v>24509.439999999999</v>
      </c>
      <c r="K113">
        <v>24069.43</v>
      </c>
      <c r="L113">
        <v>23726.89</v>
      </c>
      <c r="M113">
        <v>24253.88</v>
      </c>
      <c r="N113" s="13">
        <f t="shared" si="28"/>
        <v>0.26165325182957272</v>
      </c>
      <c r="O113" s="13">
        <f t="shared" si="29"/>
        <v>2.6642962385688787E-3</v>
      </c>
      <c r="P113" s="13">
        <f t="shared" si="30"/>
        <v>0.2634895218148387</v>
      </c>
      <c r="Q113" s="13">
        <f t="shared" si="31"/>
        <v>0.27753461271507368</v>
      </c>
      <c r="R113" s="13">
        <f t="shared" si="32"/>
        <v>0.25388015537669101</v>
      </c>
      <c r="S113" s="13">
        <f t="shared" si="33"/>
        <v>0.26727500213094985</v>
      </c>
      <c r="T113" s="13">
        <f t="shared" si="34"/>
        <v>0.27770265333706751</v>
      </c>
      <c r="U113" s="7">
        <f t="shared" si="35"/>
        <v>0.26165994910073903</v>
      </c>
      <c r="V113">
        <v>18860.400000000001</v>
      </c>
      <c r="W113">
        <v>24253.200000000001</v>
      </c>
      <c r="X113">
        <v>18840.88</v>
      </c>
      <c r="Y113">
        <v>24193.06</v>
      </c>
      <c r="Z113">
        <v>23731.63</v>
      </c>
      <c r="AA113">
        <v>24508.61</v>
      </c>
      <c r="AB113">
        <v>24068.639999999999</v>
      </c>
      <c r="AC113">
        <v>23726.06</v>
      </c>
      <c r="AD113">
        <v>24252.98</v>
      </c>
      <c r="AE113" s="14">
        <f>Tabla13[[#This Row],[Calculated HEFT_NC]]/Tabla13[[#This Row],[Real HEFT_NC]]</f>
        <v>0.57415096866894788</v>
      </c>
      <c r="AF113" s="14">
        <f>Tabla13[[#This Row],[Calculated HEFT_DNC]]/Tabla13[[#This Row],[Real HEFT_DNC]]</f>
        <v>0.9999628928717208</v>
      </c>
      <c r="AG113" s="14">
        <f>Tabla13[[#This Row],[Calculated GA_NC]]/Tabla13[[#This Row],[Real GA_NC]]</f>
        <v>0.57508894537764854</v>
      </c>
      <c r="AH113" s="15">
        <f>Tabla13[[#This Row],[Calculated GA_DNC]]/Tabla13[[#This Row],[Real GA_DNC]]</f>
        <v>0.99997024028489978</v>
      </c>
      <c r="AI113" s="15">
        <f>Tabla13[[#This Row],[Calculated HGA_(Ph2)]]/Tabla13[[#This Row],[Real HGA_(Ph2)]]</f>
        <v>0.9999671335528082</v>
      </c>
      <c r="AJ113" s="15">
        <f>Tabla13[[#This Row],[Calculated HGA_(Ph1)]]/Tabla13[[#This Row],[Real HGA_(Ph1)]]</f>
        <v>0.99996613549717994</v>
      </c>
      <c r="AK113" s="15">
        <f>Tabla13[[#This Row],[Calculated HGA^H]]/Tabla13[[#This Row],[Real GA^H]]</f>
        <v>0.99996717828382309</v>
      </c>
      <c r="AL113" s="15">
        <f>Tabla13[[#This Row],[Calculated HGA_(Ph2)^H]]/Tabla13[[#This Row],[Real HGA_(Ph2)^H]]</f>
        <v>0.99996501859282871</v>
      </c>
      <c r="AM113" s="15">
        <f>Tabla13[[#This Row],[Calculated HGA_(Ph1)^H]]/Tabla13[[#This Row],[Real HGA_(Ph1)^H]]</f>
        <v>0.99996289253513249</v>
      </c>
      <c r="AU113"/>
      <c r="AV113"/>
      <c r="AW113"/>
    </row>
    <row r="114" spans="1:49">
      <c r="A114" s="6" t="str">
        <f t="shared" si="27"/>
        <v>soykb</v>
      </c>
      <c r="B114" t="s">
        <v>24</v>
      </c>
      <c r="C114">
        <f>_xlfn.XLOOKUP(B114,Instances!$B$2:$B$29,Instances!$A$2:$A$29,,0,1)</f>
        <v>256</v>
      </c>
      <c r="D114">
        <v>4</v>
      </c>
      <c r="E114">
        <v>19748.8</v>
      </c>
      <c r="F114">
        <v>15540</v>
      </c>
      <c r="G114">
        <v>19969.650000000001</v>
      </c>
      <c r="H114">
        <v>15554.45</v>
      </c>
      <c r="I114">
        <v>15275.25</v>
      </c>
      <c r="J114">
        <v>15671.51</v>
      </c>
      <c r="K114">
        <v>15481.56</v>
      </c>
      <c r="L114">
        <v>15295.07</v>
      </c>
      <c r="M114">
        <v>15540</v>
      </c>
      <c r="N114" s="13">
        <f t="shared" si="28"/>
        <v>0.21311674633395444</v>
      </c>
      <c r="O114" s="13">
        <f t="shared" si="29"/>
        <v>-1.1182957951875667E-2</v>
      </c>
      <c r="P114" s="13">
        <f t="shared" si="30"/>
        <v>0.2123850563072186</v>
      </c>
      <c r="Q114" s="13">
        <f t="shared" si="31"/>
        <v>0.22652262415944258</v>
      </c>
      <c r="R114" s="13">
        <f t="shared" si="32"/>
        <v>0.2064576075508385</v>
      </c>
      <c r="S114" s="13">
        <f t="shared" si="33"/>
        <v>0.21607591347322369</v>
      </c>
      <c r="T114" s="13">
        <f t="shared" si="34"/>
        <v>0.22551901887709633</v>
      </c>
      <c r="U114" s="7">
        <f t="shared" si="35"/>
        <v>0.21311674633395444</v>
      </c>
      <c r="V114">
        <v>12790.9</v>
      </c>
      <c r="W114">
        <v>15539.3</v>
      </c>
      <c r="X114">
        <v>12793.57</v>
      </c>
      <c r="Y114">
        <v>15553.86</v>
      </c>
      <c r="Z114">
        <v>15274.65</v>
      </c>
      <c r="AA114">
        <v>15670.95</v>
      </c>
      <c r="AB114">
        <v>15480.97</v>
      </c>
      <c r="AC114">
        <v>15294.47</v>
      </c>
      <c r="AD114">
        <v>15539.3</v>
      </c>
      <c r="AE114" s="14">
        <f>Tabla13[[#This Row],[Calculated HEFT_NC]]/Tabla13[[#This Row],[Real HEFT_NC]]</f>
        <v>0.64767985902940939</v>
      </c>
      <c r="AF114" s="14">
        <f>Tabla13[[#This Row],[Calculated HEFT_DNC]]/Tabla13[[#This Row],[Real HEFT_DNC]]</f>
        <v>0.9999549549549549</v>
      </c>
      <c r="AG114" s="14">
        <f>Tabla13[[#This Row],[Calculated GA_NC]]/Tabla13[[#This Row],[Real GA_NC]]</f>
        <v>0.64065068741815701</v>
      </c>
      <c r="AH114" s="15">
        <f>Tabla13[[#This Row],[Calculated GA_DNC]]/Tabla13[[#This Row],[Real GA_DNC]]</f>
        <v>0.99996206873274207</v>
      </c>
      <c r="AI114" s="15">
        <f>Tabla13[[#This Row],[Calculated HGA_(Ph2)]]/Tabla13[[#This Row],[Real HGA_(Ph2)]]</f>
        <v>0.99996072077380072</v>
      </c>
      <c r="AJ114" s="15">
        <f>Tabla13[[#This Row],[Calculated HGA_(Ph1)]]/Tabla13[[#This Row],[Real HGA_(Ph1)]]</f>
        <v>0.99996426636616387</v>
      </c>
      <c r="AK114" s="15">
        <f>Tabla13[[#This Row],[Calculated HGA^H]]/Tabla13[[#This Row],[Real GA^H]]</f>
        <v>0.99996189014543757</v>
      </c>
      <c r="AL114" s="15">
        <f>Tabla13[[#This Row],[Calculated HGA_(Ph2)^H]]/Tabla13[[#This Row],[Real HGA_(Ph2)^H]]</f>
        <v>0.99996077167348696</v>
      </c>
      <c r="AM114" s="15">
        <f>Tabla13[[#This Row],[Calculated HGA_(Ph1)^H]]/Tabla13[[#This Row],[Real HGA_(Ph1)^H]]</f>
        <v>0.9999549549549549</v>
      </c>
      <c r="AU114"/>
      <c r="AV114"/>
      <c r="AW114"/>
    </row>
    <row r="115" spans="1:49">
      <c r="A115" s="6" t="str">
        <f t="shared" si="27"/>
        <v>soykb</v>
      </c>
      <c r="B115" t="s">
        <v>24</v>
      </c>
      <c r="C115">
        <f>_xlfn.XLOOKUP(B115,Instances!$B$2:$B$29,Instances!$A$2:$A$29,,0,1)</f>
        <v>256</v>
      </c>
      <c r="D115">
        <v>8</v>
      </c>
      <c r="E115">
        <v>13434.5</v>
      </c>
      <c r="F115">
        <v>11136.7</v>
      </c>
      <c r="G115">
        <v>13636.48</v>
      </c>
      <c r="H115">
        <v>11215.92</v>
      </c>
      <c r="I115">
        <v>11061.77</v>
      </c>
      <c r="J115">
        <v>11414.27</v>
      </c>
      <c r="K115">
        <v>11127.85</v>
      </c>
      <c r="L115">
        <v>11063.09</v>
      </c>
      <c r="M115">
        <v>11136.7</v>
      </c>
      <c r="N115" s="13">
        <f t="shared" si="28"/>
        <v>0.17103725482898502</v>
      </c>
      <c r="O115" s="13">
        <f t="shared" si="29"/>
        <v>-1.5034426290520642E-2</v>
      </c>
      <c r="P115" s="13">
        <f t="shared" si="30"/>
        <v>0.16514049648293572</v>
      </c>
      <c r="Q115" s="13">
        <f t="shared" si="31"/>
        <v>0.17661468606944802</v>
      </c>
      <c r="R115" s="13">
        <f t="shared" si="32"/>
        <v>0.15037627005098811</v>
      </c>
      <c r="S115" s="13">
        <f t="shared" si="33"/>
        <v>0.17169600655029957</v>
      </c>
      <c r="T115" s="13">
        <f t="shared" si="34"/>
        <v>0.17651643157542149</v>
      </c>
      <c r="U115" s="7">
        <f t="shared" si="35"/>
        <v>0.17103725482898502</v>
      </c>
      <c r="V115">
        <v>9752.14</v>
      </c>
      <c r="W115">
        <v>11136.2</v>
      </c>
      <c r="X115">
        <v>9796.7829999999994</v>
      </c>
      <c r="Y115">
        <v>11215.52</v>
      </c>
      <c r="Z115">
        <v>11061.3</v>
      </c>
      <c r="AA115">
        <v>11413.86</v>
      </c>
      <c r="AB115">
        <v>11127.37</v>
      </c>
      <c r="AC115">
        <v>11062.6</v>
      </c>
      <c r="AD115">
        <v>11136.2</v>
      </c>
      <c r="AE115" s="14">
        <f>Tabla13[[#This Row],[Calculated HEFT_NC]]/Tabla13[[#This Row],[Real HEFT_NC]]</f>
        <v>0.72590271316386912</v>
      </c>
      <c r="AF115" s="14">
        <f>Tabla13[[#This Row],[Calculated HEFT_DNC]]/Tabla13[[#This Row],[Real HEFT_DNC]]</f>
        <v>0.99995510339687699</v>
      </c>
      <c r="AG115" s="14">
        <f>Tabla13[[#This Row],[Calculated GA_NC]]/Tabla13[[#This Row],[Real GA_NC]]</f>
        <v>0.71842462277655228</v>
      </c>
      <c r="AH115" s="15">
        <f>Tabla13[[#This Row],[Calculated GA_DNC]]/Tabla13[[#This Row],[Real GA_DNC]]</f>
        <v>0.99996433640753501</v>
      </c>
      <c r="AI115" s="15">
        <f>Tabla13[[#This Row],[Calculated HGA_(Ph2)]]/Tabla13[[#This Row],[Real HGA_(Ph2)]]</f>
        <v>0.99995751132052091</v>
      </c>
      <c r="AJ115" s="15">
        <f>Tabla13[[#This Row],[Calculated HGA_(Ph1)]]/Tabla13[[#This Row],[Real HGA_(Ph1)]]</f>
        <v>0.99996408005067339</v>
      </c>
      <c r="AK115" s="15">
        <f>Tabla13[[#This Row],[Calculated HGA^H]]/Tabla13[[#This Row],[Real GA^H]]</f>
        <v>0.99995686498290326</v>
      </c>
      <c r="AL115" s="15">
        <f>Tabla13[[#This Row],[Calculated HGA_(Ph2)^H]]/Tabla13[[#This Row],[Real HGA_(Ph2)^H]]</f>
        <v>0.99995570857689853</v>
      </c>
      <c r="AM115" s="15">
        <f>Tabla13[[#This Row],[Calculated HGA_(Ph1)^H]]/Tabla13[[#This Row],[Real HGA_(Ph1)^H]]</f>
        <v>0.99995510339687699</v>
      </c>
      <c r="AU115"/>
      <c r="AV115"/>
      <c r="AW115"/>
    </row>
    <row r="116" spans="1:49">
      <c r="A116" s="6" t="str">
        <f t="shared" si="27"/>
        <v>soykb</v>
      </c>
      <c r="B116" t="s">
        <v>24</v>
      </c>
      <c r="C116">
        <f>_xlfn.XLOOKUP(B116,Instances!$B$2:$B$29,Instances!$A$2:$A$29,,0,1)</f>
        <v>256</v>
      </c>
      <c r="D116">
        <v>16</v>
      </c>
      <c r="E116">
        <v>10238.299999999999</v>
      </c>
      <c r="F116">
        <v>9057.6499999999978</v>
      </c>
      <c r="G116">
        <v>10533.78</v>
      </c>
      <c r="H116">
        <v>9126.7950000000001</v>
      </c>
      <c r="I116">
        <v>8943.0640000000003</v>
      </c>
      <c r="J116">
        <v>9391.1939999999995</v>
      </c>
      <c r="K116">
        <v>9044.6620000000003</v>
      </c>
      <c r="L116">
        <v>8954.4449999999997</v>
      </c>
      <c r="M116">
        <v>9057.6499999999978</v>
      </c>
      <c r="N116" s="13">
        <f t="shared" si="28"/>
        <v>0.11531699598566184</v>
      </c>
      <c r="O116" s="13">
        <f t="shared" si="29"/>
        <v>-2.886026000410238E-2</v>
      </c>
      <c r="P116" s="13">
        <f t="shared" si="30"/>
        <v>0.10856343338249506</v>
      </c>
      <c r="Q116" s="13">
        <f t="shared" si="31"/>
        <v>0.12650889307795229</v>
      </c>
      <c r="R116" s="13">
        <f t="shared" si="32"/>
        <v>8.2738931267886257E-2</v>
      </c>
      <c r="S116" s="13">
        <f t="shared" si="33"/>
        <v>0.11658556596309926</v>
      </c>
      <c r="T116" s="13">
        <f t="shared" si="34"/>
        <v>0.12539728275201933</v>
      </c>
      <c r="U116" s="7">
        <f t="shared" si="35"/>
        <v>0.11531699598566184</v>
      </c>
      <c r="V116">
        <v>8252.2900000000027</v>
      </c>
      <c r="W116">
        <v>9057.3999999999978</v>
      </c>
      <c r="X116">
        <v>8397.0159999999996</v>
      </c>
      <c r="Y116">
        <v>9126.4970000000012</v>
      </c>
      <c r="Z116">
        <v>8942.8050000000003</v>
      </c>
      <c r="AA116">
        <v>9390.9319999999989</v>
      </c>
      <c r="AB116">
        <v>9044.41</v>
      </c>
      <c r="AC116">
        <v>8954.1640000000007</v>
      </c>
      <c r="AD116">
        <v>9057.3999999999978</v>
      </c>
      <c r="AE116" s="14">
        <f>Tabla13[[#This Row],[Calculated HEFT_NC]]/Tabla13[[#This Row],[Real HEFT_NC]]</f>
        <v>0.80602150747682755</v>
      </c>
      <c r="AF116" s="14">
        <f>Tabla13[[#This Row],[Calculated HEFT_DNC]]/Tabla13[[#This Row],[Real HEFT_DNC]]</f>
        <v>0.99997239902182133</v>
      </c>
      <c r="AG116" s="14">
        <f>Tabla13[[#This Row],[Calculated GA_NC]]/Tabla13[[#This Row],[Real GA_NC]]</f>
        <v>0.79715126004150449</v>
      </c>
      <c r="AH116" s="15">
        <f>Tabla13[[#This Row],[Calculated GA_DNC]]/Tabla13[[#This Row],[Real GA_DNC]]</f>
        <v>0.9999673488886297</v>
      </c>
      <c r="AI116" s="15">
        <f>Tabla13[[#This Row],[Calculated HGA_(Ph2)]]/Tabla13[[#This Row],[Real HGA_(Ph2)]]</f>
        <v>0.99997103900855455</v>
      </c>
      <c r="AJ116" s="15">
        <f>Tabla13[[#This Row],[Calculated HGA_(Ph1)]]/Tabla13[[#This Row],[Real HGA_(Ph1)]]</f>
        <v>0.9999721015240447</v>
      </c>
      <c r="AK116" s="15">
        <f>Tabla13[[#This Row],[Calculated HGA^H]]/Tabla13[[#This Row],[Real GA^H]]</f>
        <v>0.99997213826232534</v>
      </c>
      <c r="AL116" s="15">
        <f>Tabla13[[#This Row],[Calculated HGA_(Ph2)^H]]/Tabla13[[#This Row],[Real HGA_(Ph2)^H]]</f>
        <v>0.99996861893729883</v>
      </c>
      <c r="AM116" s="15">
        <f>Tabla13[[#This Row],[Calculated HGA_(Ph1)^H]]/Tabla13[[#This Row],[Real HGA_(Ph1)^H]]</f>
        <v>0.99997239902182133</v>
      </c>
      <c r="AU116"/>
      <c r="AV116"/>
      <c r="AW116"/>
    </row>
    <row r="117" spans="1:49">
      <c r="A117" s="6" t="str">
        <f t="shared" si="27"/>
        <v>soykb</v>
      </c>
      <c r="B117" t="s">
        <v>25</v>
      </c>
      <c r="C117">
        <f>_xlfn.XLOOKUP(B117,Instances!$B$2:$B$29,Instances!$A$2:$A$29,,0,1)</f>
        <v>546</v>
      </c>
      <c r="D117">
        <v>1</v>
      </c>
      <c r="E117">
        <v>160336</v>
      </c>
      <c r="F117">
        <v>160336</v>
      </c>
      <c r="G117">
        <v>160336</v>
      </c>
      <c r="H117">
        <v>160336</v>
      </c>
      <c r="I117">
        <v>160336</v>
      </c>
      <c r="J117">
        <v>160336</v>
      </c>
      <c r="K117">
        <v>160336</v>
      </c>
      <c r="L117">
        <v>160336</v>
      </c>
      <c r="M117">
        <v>160336</v>
      </c>
      <c r="N117" s="13">
        <f t="shared" si="28"/>
        <v>0</v>
      </c>
      <c r="O117" s="13">
        <f t="shared" si="29"/>
        <v>0</v>
      </c>
      <c r="P117" s="13">
        <f t="shared" si="30"/>
        <v>0</v>
      </c>
      <c r="Q117" s="13">
        <f t="shared" si="31"/>
        <v>0</v>
      </c>
      <c r="R117" s="13">
        <f t="shared" si="32"/>
        <v>0</v>
      </c>
      <c r="S117" s="13">
        <f t="shared" si="33"/>
        <v>0</v>
      </c>
      <c r="T117" s="13">
        <f t="shared" si="34"/>
        <v>0</v>
      </c>
      <c r="U117" s="7">
        <f t="shared" si="35"/>
        <v>0</v>
      </c>
      <c r="V117">
        <v>91650.6</v>
      </c>
      <c r="W117">
        <v>160334</v>
      </c>
      <c r="X117">
        <v>91650.6</v>
      </c>
      <c r="Y117">
        <v>160334</v>
      </c>
      <c r="Z117">
        <v>160334</v>
      </c>
      <c r="AA117">
        <v>160334</v>
      </c>
      <c r="AB117">
        <v>160334</v>
      </c>
      <c r="AC117">
        <v>160334</v>
      </c>
      <c r="AD117">
        <v>160334</v>
      </c>
      <c r="AE117" s="14">
        <f>Tabla13[[#This Row],[Calculated HEFT_NC]]/Tabla13[[#This Row],[Real HEFT_NC]]</f>
        <v>0.57161585670092807</v>
      </c>
      <c r="AF117" s="14">
        <f>Tabla13[[#This Row],[Calculated HEFT_DNC]]/Tabla13[[#This Row],[Real HEFT_DNC]]</f>
        <v>0.99998752619499054</v>
      </c>
      <c r="AG117" s="14">
        <f>Tabla13[[#This Row],[Calculated GA_NC]]/Tabla13[[#This Row],[Real GA_NC]]</f>
        <v>0.57161585670092807</v>
      </c>
      <c r="AH117" s="15">
        <f>Tabla13[[#This Row],[Calculated GA_DNC]]/Tabla13[[#This Row],[Real GA_DNC]]</f>
        <v>0.99998752619499054</v>
      </c>
      <c r="AI117" s="15">
        <f>Tabla13[[#This Row],[Calculated HGA_(Ph2)]]/Tabla13[[#This Row],[Real HGA_(Ph2)]]</f>
        <v>0.99998752619499054</v>
      </c>
      <c r="AJ117" s="15">
        <f>Tabla13[[#This Row],[Calculated HGA_(Ph1)]]/Tabla13[[#This Row],[Real HGA_(Ph1)]]</f>
        <v>0.99998752619499054</v>
      </c>
      <c r="AK117" s="15">
        <f>Tabla13[[#This Row],[Calculated HGA^H]]/Tabla13[[#This Row],[Real GA^H]]</f>
        <v>0.99998752619499054</v>
      </c>
      <c r="AL117" s="15">
        <f>Tabla13[[#This Row],[Calculated HGA_(Ph2)^H]]/Tabla13[[#This Row],[Real HGA_(Ph2)^H]]</f>
        <v>0.99998752619499054</v>
      </c>
      <c r="AM117" s="15">
        <f>Tabla13[[#This Row],[Calculated HGA_(Ph1)^H]]/Tabla13[[#This Row],[Real HGA_(Ph1)^H]]</f>
        <v>0.99998752619499054</v>
      </c>
      <c r="AU117"/>
      <c r="AV117"/>
      <c r="AW117"/>
    </row>
    <row r="118" spans="1:49">
      <c r="A118" s="6" t="str">
        <f t="shared" si="27"/>
        <v>soykb</v>
      </c>
      <c r="B118" t="s">
        <v>25</v>
      </c>
      <c r="C118">
        <f>_xlfn.XLOOKUP(B118,Instances!$B$2:$B$29,Instances!$A$2:$A$29,,0,1)</f>
        <v>546</v>
      </c>
      <c r="D118">
        <v>2</v>
      </c>
      <c r="E118">
        <v>90475.7</v>
      </c>
      <c r="F118">
        <v>70640.899999999994</v>
      </c>
      <c r="G118">
        <v>91272.180000000008</v>
      </c>
      <c r="H118">
        <v>70917.399999999994</v>
      </c>
      <c r="I118">
        <v>69750.14</v>
      </c>
      <c r="J118">
        <v>71224.459999999992</v>
      </c>
      <c r="K118">
        <v>70163.37000000001</v>
      </c>
      <c r="L118">
        <v>69939.8</v>
      </c>
      <c r="M118">
        <v>70640.899999999994</v>
      </c>
      <c r="N118" s="13">
        <f t="shared" si="28"/>
        <v>0.2192279252882266</v>
      </c>
      <c r="O118" s="13">
        <f t="shared" si="29"/>
        <v>-8.8032477228693513E-3</v>
      </c>
      <c r="P118" s="13">
        <f t="shared" si="30"/>
        <v>0.21617185608953568</v>
      </c>
      <c r="Q118" s="13">
        <f t="shared" si="31"/>
        <v>0.22907322076535466</v>
      </c>
      <c r="R118" s="13">
        <f t="shared" si="32"/>
        <v>0.21277801663872184</v>
      </c>
      <c r="S118" s="13">
        <f t="shared" si="33"/>
        <v>0.22450591705839235</v>
      </c>
      <c r="T118" s="13">
        <f t="shared" si="34"/>
        <v>0.22697696729619107</v>
      </c>
      <c r="U118" s="7">
        <f t="shared" si="35"/>
        <v>0.2192279252882266</v>
      </c>
      <c r="V118">
        <v>58238.400000000001</v>
      </c>
      <c r="W118">
        <v>70638.800000000017</v>
      </c>
      <c r="X118">
        <v>58360.19</v>
      </c>
      <c r="Y118">
        <v>70915.58</v>
      </c>
      <c r="Z118">
        <v>69748.329999999987</v>
      </c>
      <c r="AA118">
        <v>71222.540000000008</v>
      </c>
      <c r="AB118">
        <v>70161.42</v>
      </c>
      <c r="AC118">
        <v>69937.850000000006</v>
      </c>
      <c r="AD118">
        <v>70638.800000000017</v>
      </c>
      <c r="AE118" s="14">
        <f>Tabla13[[#This Row],[Calculated HEFT_NC]]/Tabla13[[#This Row],[Real HEFT_NC]]</f>
        <v>0.64369106843052892</v>
      </c>
      <c r="AF118" s="14">
        <f>Tabla13[[#This Row],[Calculated HEFT_DNC]]/Tabla13[[#This Row],[Real HEFT_DNC]]</f>
        <v>0.9999702721794318</v>
      </c>
      <c r="AG118" s="14">
        <f>Tabla13[[#This Row],[Calculated GA_NC]]/Tabla13[[#This Row],[Real GA_NC]]</f>
        <v>0.63940830601394638</v>
      </c>
      <c r="AH118" s="15">
        <f>Tabla13[[#This Row],[Calculated GA_DNC]]/Tabla13[[#This Row],[Real GA_DNC]]</f>
        <v>0.99997433634058785</v>
      </c>
      <c r="AI118" s="15">
        <f>Tabla13[[#This Row],[Calculated HGA_(Ph2)]]/Tabla13[[#This Row],[Real HGA_(Ph2)]]</f>
        <v>0.99997405023129682</v>
      </c>
      <c r="AJ118" s="15">
        <f>Tabla13[[#This Row],[Calculated HGA_(Ph1)]]/Tabla13[[#This Row],[Real HGA_(Ph1)]]</f>
        <v>0.99997304296866574</v>
      </c>
      <c r="AK118" s="15">
        <f>Tabla13[[#This Row],[Calculated HGA^H]]/Tabla13[[#This Row],[Real GA^H]]</f>
        <v>0.99997220772035311</v>
      </c>
      <c r="AL118" s="15">
        <f>Tabla13[[#This Row],[Calculated HGA_(Ph2)^H]]/Tabla13[[#This Row],[Real HGA_(Ph2)^H]]</f>
        <v>0.9999721188793792</v>
      </c>
      <c r="AM118" s="15">
        <f>Tabla13[[#This Row],[Calculated HGA_(Ph1)^H]]/Tabla13[[#This Row],[Real HGA_(Ph1)^H]]</f>
        <v>0.9999702721794318</v>
      </c>
      <c r="AU118"/>
      <c r="AV118"/>
      <c r="AW118"/>
    </row>
    <row r="119" spans="1:49">
      <c r="A119" s="6" t="str">
        <f t="shared" si="27"/>
        <v>soykb</v>
      </c>
      <c r="B119" t="s">
        <v>25</v>
      </c>
      <c r="C119">
        <f>_xlfn.XLOOKUP(B119,Instances!$B$2:$B$29,Instances!$A$2:$A$29,,0,1)</f>
        <v>546</v>
      </c>
      <c r="D119">
        <v>4</v>
      </c>
      <c r="E119">
        <v>61358.600000000013</v>
      </c>
      <c r="F119">
        <v>51320.2</v>
      </c>
      <c r="G119">
        <v>61919.87</v>
      </c>
      <c r="H119">
        <v>51506.539999999994</v>
      </c>
      <c r="I119">
        <v>51022.87</v>
      </c>
      <c r="J119">
        <v>51717.38</v>
      </c>
      <c r="K119">
        <v>51232.61</v>
      </c>
      <c r="L119">
        <v>51050.080000000002</v>
      </c>
      <c r="M119">
        <v>51320.2</v>
      </c>
      <c r="N119" s="13">
        <f t="shared" si="28"/>
        <v>0.16360216823721555</v>
      </c>
      <c r="O119" s="13">
        <f t="shared" si="29"/>
        <v>-9.1473729843899541E-3</v>
      </c>
      <c r="P119" s="13">
        <f t="shared" si="30"/>
        <v>0.16056526713451769</v>
      </c>
      <c r="Q119" s="13">
        <f t="shared" si="31"/>
        <v>0.16844794372752978</v>
      </c>
      <c r="R119" s="13">
        <f t="shared" si="32"/>
        <v>0.15712907400103676</v>
      </c>
      <c r="S119" s="13">
        <f t="shared" si="33"/>
        <v>0.16502967799134938</v>
      </c>
      <c r="T119" s="13">
        <f t="shared" si="34"/>
        <v>0.16800448510885205</v>
      </c>
      <c r="U119" s="7">
        <f t="shared" si="35"/>
        <v>0.16360216823721555</v>
      </c>
      <c r="V119">
        <v>45083.8</v>
      </c>
      <c r="W119">
        <v>51318.8</v>
      </c>
      <c r="X119">
        <v>45116.639999999999</v>
      </c>
      <c r="Y119">
        <v>51505.13</v>
      </c>
      <c r="Z119">
        <v>51021.48</v>
      </c>
      <c r="AA119">
        <v>51716.05</v>
      </c>
      <c r="AB119">
        <v>51231.13</v>
      </c>
      <c r="AC119">
        <v>51048.61</v>
      </c>
      <c r="AD119">
        <v>51318.8</v>
      </c>
      <c r="AE119" s="14">
        <f>Tabla13[[#This Row],[Calculated HEFT_NC]]/Tabla13[[#This Row],[Real HEFT_NC]]</f>
        <v>0.73475926764952249</v>
      </c>
      <c r="AF119" s="14">
        <f>Tabla13[[#This Row],[Calculated HEFT_DNC]]/Tabla13[[#This Row],[Real HEFT_DNC]]</f>
        <v>0.99997272029337392</v>
      </c>
      <c r="AG119" s="14">
        <f>Tabla13[[#This Row],[Calculated GA_NC]]/Tabla13[[#This Row],[Real GA_NC]]</f>
        <v>0.72862943672200853</v>
      </c>
      <c r="AH119" s="15">
        <f>Tabla13[[#This Row],[Calculated GA_DNC]]/Tabla13[[#This Row],[Real GA_DNC]]</f>
        <v>0.99997262483560345</v>
      </c>
      <c r="AI119" s="15">
        <f>Tabla13[[#This Row],[Calculated HGA_(Ph2)]]/Tabla13[[#This Row],[Real HGA_(Ph2)]]</f>
        <v>0.99997275731451407</v>
      </c>
      <c r="AJ119" s="15">
        <f>Tabla13[[#This Row],[Calculated HGA_(Ph1)]]/Tabla13[[#This Row],[Real HGA_(Ph1)]]</f>
        <v>0.99997428330669502</v>
      </c>
      <c r="AK119" s="15">
        <f>Tabla13[[#This Row],[Calculated HGA^H]]/Tabla13[[#This Row],[Real GA^H]]</f>
        <v>0.99997111214907841</v>
      </c>
      <c r="AL119" s="15">
        <f>Tabla13[[#This Row],[Calculated HGA_(Ph2)^H]]/Tabla13[[#This Row],[Real HGA_(Ph2)^H]]</f>
        <v>0.999971204746398</v>
      </c>
      <c r="AM119" s="15">
        <f>Tabla13[[#This Row],[Calculated HGA_(Ph1)^H]]/Tabla13[[#This Row],[Real HGA_(Ph1)^H]]</f>
        <v>0.99997272029337392</v>
      </c>
      <c r="AU119"/>
      <c r="AV119"/>
      <c r="AW119"/>
    </row>
    <row r="120" spans="1:49">
      <c r="A120" s="6" t="str">
        <f t="shared" si="27"/>
        <v>soykb</v>
      </c>
      <c r="B120" t="s">
        <v>25</v>
      </c>
      <c r="C120">
        <f>_xlfn.XLOOKUP(B120,Instances!$B$2:$B$29,Instances!$A$2:$A$29,,0,1)</f>
        <v>546</v>
      </c>
      <c r="D120">
        <v>8</v>
      </c>
      <c r="E120">
        <v>46856</v>
      </c>
      <c r="F120">
        <v>41653.9</v>
      </c>
      <c r="G120">
        <v>47516.539999999994</v>
      </c>
      <c r="H120">
        <v>41889.33</v>
      </c>
      <c r="I120">
        <v>41580.910000000003</v>
      </c>
      <c r="J120">
        <v>42015.85</v>
      </c>
      <c r="K120">
        <v>41647.230000000003</v>
      </c>
      <c r="L120">
        <v>41569.879999999997</v>
      </c>
      <c r="M120">
        <v>41653.900000000009</v>
      </c>
      <c r="N120" s="13">
        <f t="shared" si="28"/>
        <v>0.11102313471060267</v>
      </c>
      <c r="O120" s="13">
        <f t="shared" si="29"/>
        <v>-1.4097234078879837E-2</v>
      </c>
      <c r="P120" s="13">
        <f t="shared" si="30"/>
        <v>0.10599859142905921</v>
      </c>
      <c r="Q120" s="13">
        <f t="shared" si="31"/>
        <v>0.11258088611917356</v>
      </c>
      <c r="R120" s="13">
        <f t="shared" si="32"/>
        <v>0.10329840361960051</v>
      </c>
      <c r="S120" s="13">
        <f t="shared" si="33"/>
        <v>0.11116548574355466</v>
      </c>
      <c r="T120" s="13">
        <f t="shared" si="34"/>
        <v>0.11281628820215132</v>
      </c>
      <c r="U120" s="7">
        <f t="shared" si="35"/>
        <v>0.11102313471060252</v>
      </c>
      <c r="V120">
        <v>38512.099999999991</v>
      </c>
      <c r="W120">
        <v>41652.599999999991</v>
      </c>
      <c r="X120">
        <v>38647.699999999997</v>
      </c>
      <c r="Y120">
        <v>41888.300000000003</v>
      </c>
      <c r="Z120">
        <v>41579.980000000003</v>
      </c>
      <c r="AA120">
        <v>42014.89</v>
      </c>
      <c r="AB120">
        <v>41645.969999999987</v>
      </c>
      <c r="AC120">
        <v>41568.650000000009</v>
      </c>
      <c r="AD120">
        <v>41652.599999999991</v>
      </c>
      <c r="AE120" s="14">
        <f>Tabla13[[#This Row],[Calculated HEFT_NC]]/Tabla13[[#This Row],[Real HEFT_NC]]</f>
        <v>0.82192462011268552</v>
      </c>
      <c r="AF120" s="14">
        <f>Tabla13[[#This Row],[Calculated HEFT_DNC]]/Tabla13[[#This Row],[Real HEFT_DNC]]</f>
        <v>0.99996879043738973</v>
      </c>
      <c r="AG120" s="14">
        <f>Tabla13[[#This Row],[Calculated GA_NC]]/Tabla13[[#This Row],[Real GA_NC]]</f>
        <v>0.81335257154666574</v>
      </c>
      <c r="AH120" s="15">
        <f>Tabla13[[#This Row],[Calculated GA_DNC]]/Tabla13[[#This Row],[Real GA_DNC]]</f>
        <v>0.99997541139951396</v>
      </c>
      <c r="AI120" s="15">
        <f>Tabla13[[#This Row],[Calculated HGA_(Ph2)]]/Tabla13[[#This Row],[Real HGA_(Ph2)]]</f>
        <v>0.9999776339671258</v>
      </c>
      <c r="AJ120" s="15">
        <f>Tabla13[[#This Row],[Calculated HGA_(Ph1)]]/Tabla13[[#This Row],[Real HGA_(Ph1)]]</f>
        <v>0.9999771514797392</v>
      </c>
      <c r="AK120" s="15">
        <f>Tabla13[[#This Row],[Calculated HGA^H]]/Tabla13[[#This Row],[Real GA^H]]</f>
        <v>0.999969745887061</v>
      </c>
      <c r="AL120" s="15">
        <f>Tabla13[[#This Row],[Calculated HGA_(Ph2)^H]]/Tabla13[[#This Row],[Real HGA_(Ph2)^H]]</f>
        <v>0.99997041126892861</v>
      </c>
      <c r="AM120" s="15">
        <f>Tabla13[[#This Row],[Calculated HGA_(Ph1)^H]]/Tabla13[[#This Row],[Real HGA_(Ph1)^H]]</f>
        <v>0.99996879043738962</v>
      </c>
      <c r="AU120"/>
      <c r="AV120"/>
      <c r="AW120"/>
    </row>
    <row r="121" spans="1:49">
      <c r="A121" s="6" t="str">
        <f t="shared" si="27"/>
        <v>soykb</v>
      </c>
      <c r="B121" t="s">
        <v>25</v>
      </c>
      <c r="C121">
        <f>_xlfn.XLOOKUP(B121,Instances!$B$2:$B$29,Instances!$A$2:$A$29,,0,1)</f>
        <v>546</v>
      </c>
      <c r="D121">
        <v>16</v>
      </c>
      <c r="E121">
        <v>39693.9</v>
      </c>
      <c r="F121">
        <v>36881.4</v>
      </c>
      <c r="G121">
        <v>40138.080000000002</v>
      </c>
      <c r="H121">
        <v>37128.370000000003</v>
      </c>
      <c r="I121">
        <v>36818.379999999997</v>
      </c>
      <c r="J121">
        <v>37341.85</v>
      </c>
      <c r="K121">
        <v>36870.339999999997</v>
      </c>
      <c r="L121">
        <v>36799.43</v>
      </c>
      <c r="M121">
        <v>36881.400000000009</v>
      </c>
      <c r="N121" s="13">
        <f t="shared" si="28"/>
        <v>7.0854715711985969E-2</v>
      </c>
      <c r="O121" s="13">
        <f t="shared" si="29"/>
        <v>-1.1190132488871093E-2</v>
      </c>
      <c r="P121" s="13">
        <f t="shared" si="30"/>
        <v>6.4632852906869792E-2</v>
      </c>
      <c r="Q121" s="13">
        <f t="shared" si="31"/>
        <v>7.2442365199690731E-2</v>
      </c>
      <c r="R121" s="13">
        <f t="shared" si="32"/>
        <v>5.9254696565467307E-2</v>
      </c>
      <c r="S121" s="13">
        <f t="shared" si="33"/>
        <v>7.1133347945150388E-2</v>
      </c>
      <c r="T121" s="13">
        <f t="shared" si="34"/>
        <v>7.2919768528665635E-2</v>
      </c>
      <c r="U121" s="7">
        <f t="shared" si="35"/>
        <v>7.0854715711985788E-2</v>
      </c>
      <c r="V121">
        <v>35224.900000000009</v>
      </c>
      <c r="W121">
        <v>36880.400000000009</v>
      </c>
      <c r="X121">
        <v>35525.230000000003</v>
      </c>
      <c r="Y121">
        <v>37127.58</v>
      </c>
      <c r="Z121">
        <v>36817.58</v>
      </c>
      <c r="AA121">
        <v>37341.180000000008</v>
      </c>
      <c r="AB121">
        <v>36869.240000000013</v>
      </c>
      <c r="AC121">
        <v>36798.409999999989</v>
      </c>
      <c r="AD121">
        <v>36880.400000000009</v>
      </c>
      <c r="AE121" s="14">
        <f>Tabla13[[#This Row],[Calculated HEFT_NC]]/Tabla13[[#This Row],[Real HEFT_NC]]</f>
        <v>0.88741343128289252</v>
      </c>
      <c r="AF121" s="14">
        <f>Tabla13[[#This Row],[Calculated HEFT_DNC]]/Tabla13[[#This Row],[Real HEFT_DNC]]</f>
        <v>0.99997288606180912</v>
      </c>
      <c r="AG121" s="14">
        <f>Tabla13[[#This Row],[Calculated GA_NC]]/Tabla13[[#This Row],[Real GA_NC]]</f>
        <v>0.88507546947935734</v>
      </c>
      <c r="AH121" s="15">
        <f>Tabla13[[#This Row],[Calculated GA_DNC]]/Tabla13[[#This Row],[Real GA_DNC]]</f>
        <v>0.99997872247017572</v>
      </c>
      <c r="AI121" s="15">
        <f>Tabla13[[#This Row],[Calculated HGA_(Ph2)]]/Tabla13[[#This Row],[Real HGA_(Ph2)]]</f>
        <v>0.99997827172189557</v>
      </c>
      <c r="AJ121" s="15">
        <f>Tabla13[[#This Row],[Calculated HGA_(Ph1)]]/Tabla13[[#This Row],[Real HGA_(Ph1)]]</f>
        <v>0.99998205766452408</v>
      </c>
      <c r="AK121" s="15">
        <f>Tabla13[[#This Row],[Calculated HGA^H]]/Tabla13[[#This Row],[Real GA^H]]</f>
        <v>0.99997016572128206</v>
      </c>
      <c r="AL121" s="15">
        <f>Tabla13[[#This Row],[Calculated HGA_(Ph2)^H]]/Tabla13[[#This Row],[Real HGA_(Ph2)^H]]</f>
        <v>0.9999722821793704</v>
      </c>
      <c r="AM121" s="15">
        <f>Tabla13[[#This Row],[Calculated HGA_(Ph1)^H]]/Tabla13[[#This Row],[Real HGA_(Ph1)^H]]</f>
        <v>0.9999728860618089</v>
      </c>
      <c r="AU121"/>
      <c r="AV121"/>
      <c r="AW121"/>
    </row>
    <row r="122" spans="1:49">
      <c r="A122" s="6" t="str">
        <f t="shared" si="27"/>
        <v>srasearch</v>
      </c>
      <c r="B122" t="s">
        <v>26</v>
      </c>
      <c r="C122">
        <f>_xlfn.XLOOKUP(B122,Instances!$B$2:$B$29,Instances!$A$2:$A$29,,0,1)</f>
        <v>22</v>
      </c>
      <c r="D122">
        <v>1</v>
      </c>
      <c r="E122">
        <v>7693.88</v>
      </c>
      <c r="F122">
        <v>7693.88</v>
      </c>
      <c r="G122">
        <v>7693.88</v>
      </c>
      <c r="H122">
        <v>7693.88</v>
      </c>
      <c r="I122">
        <v>7693.88</v>
      </c>
      <c r="J122">
        <v>7693.88</v>
      </c>
      <c r="K122">
        <v>7693.88</v>
      </c>
      <c r="L122">
        <v>7693.88</v>
      </c>
      <c r="M122">
        <v>7693.88</v>
      </c>
      <c r="N122" s="13">
        <f t="shared" si="28"/>
        <v>0</v>
      </c>
      <c r="O122" s="13">
        <f t="shared" si="29"/>
        <v>0</v>
      </c>
      <c r="P122" s="13">
        <f t="shared" si="30"/>
        <v>0</v>
      </c>
      <c r="Q122" s="13">
        <f t="shared" si="31"/>
        <v>0</v>
      </c>
      <c r="R122" s="13">
        <f t="shared" si="32"/>
        <v>0</v>
      </c>
      <c r="S122" s="13">
        <f t="shared" si="33"/>
        <v>0</v>
      </c>
      <c r="T122" s="13">
        <f t="shared" si="34"/>
        <v>0</v>
      </c>
      <c r="U122" s="7">
        <f t="shared" si="35"/>
        <v>0</v>
      </c>
      <c r="V122">
        <v>6039.3000000000011</v>
      </c>
      <c r="W122">
        <v>7693.8399999999992</v>
      </c>
      <c r="X122">
        <v>6039.3000000000011</v>
      </c>
      <c r="Y122">
        <v>7693.8399999999992</v>
      </c>
      <c r="Z122">
        <v>7693.8399999999992</v>
      </c>
      <c r="AA122">
        <v>7693.8399999999992</v>
      </c>
      <c r="AB122">
        <v>7693.8399999999992</v>
      </c>
      <c r="AC122">
        <v>7693.8399999999992</v>
      </c>
      <c r="AD122">
        <v>7693.8399999999992</v>
      </c>
      <c r="AE122" s="14">
        <f>Tabla13[[#This Row],[Calculated HEFT_NC]]/Tabla13[[#This Row],[Real HEFT_NC]]</f>
        <v>0.78494855651504847</v>
      </c>
      <c r="AF122" s="14">
        <f>Tabla13[[#This Row],[Calculated HEFT_DNC]]/Tabla13[[#This Row],[Real HEFT_DNC]]</f>
        <v>0.9999948010626627</v>
      </c>
      <c r="AG122" s="14">
        <f>Tabla13[[#This Row],[Calculated GA_NC]]/Tabla13[[#This Row],[Real GA_NC]]</f>
        <v>0.78494855651504847</v>
      </c>
      <c r="AH122" s="15">
        <f>Tabla13[[#This Row],[Calculated GA_DNC]]/Tabla13[[#This Row],[Real GA_DNC]]</f>
        <v>0.9999948010626627</v>
      </c>
      <c r="AI122" s="15">
        <f>Tabla13[[#This Row],[Calculated HGA_(Ph2)]]/Tabla13[[#This Row],[Real HGA_(Ph2)]]</f>
        <v>0.9999948010626627</v>
      </c>
      <c r="AJ122" s="15">
        <f>Tabla13[[#This Row],[Calculated HGA_(Ph1)]]/Tabla13[[#This Row],[Real HGA_(Ph1)]]</f>
        <v>0.9999948010626627</v>
      </c>
      <c r="AK122" s="15">
        <f>Tabla13[[#This Row],[Calculated HGA^H]]/Tabla13[[#This Row],[Real GA^H]]</f>
        <v>0.9999948010626627</v>
      </c>
      <c r="AL122" s="15">
        <f>Tabla13[[#This Row],[Calculated HGA_(Ph2)^H]]/Tabla13[[#This Row],[Real HGA_(Ph2)^H]]</f>
        <v>0.9999948010626627</v>
      </c>
      <c r="AM122" s="15">
        <f>Tabla13[[#This Row],[Calculated HGA_(Ph1)^H]]/Tabla13[[#This Row],[Real HGA_(Ph1)^H]]</f>
        <v>0.9999948010626627</v>
      </c>
      <c r="AU122"/>
      <c r="AV122"/>
      <c r="AW122"/>
    </row>
    <row r="123" spans="1:49">
      <c r="A123" s="6" t="str">
        <f t="shared" si="27"/>
        <v>srasearch</v>
      </c>
      <c r="B123" t="s">
        <v>26</v>
      </c>
      <c r="C123">
        <f>_xlfn.XLOOKUP(B123,Instances!$B$2:$B$29,Instances!$A$2:$A$29,,0,1)</f>
        <v>22</v>
      </c>
      <c r="D123">
        <v>2</v>
      </c>
      <c r="E123">
        <v>3910.79</v>
      </c>
      <c r="F123">
        <v>3561.37</v>
      </c>
      <c r="G123">
        <v>3787.204999999999</v>
      </c>
      <c r="H123">
        <v>3393.4290000000001</v>
      </c>
      <c r="I123">
        <v>3381.5970000000002</v>
      </c>
      <c r="J123">
        <v>3473.63</v>
      </c>
      <c r="K123">
        <v>3390.608999999999</v>
      </c>
      <c r="L123">
        <v>3383.5140000000001</v>
      </c>
      <c r="M123">
        <v>3465.5949999999998</v>
      </c>
      <c r="N123" s="13">
        <f t="shared" si="28"/>
        <v>8.9347676556399108E-2</v>
      </c>
      <c r="O123" s="13">
        <f t="shared" si="29"/>
        <v>3.1601032016549326E-2</v>
      </c>
      <c r="P123" s="13">
        <f t="shared" si="30"/>
        <v>0.13229066250041549</v>
      </c>
      <c r="Q123" s="13">
        <f t="shared" si="31"/>
        <v>0.1353161381715714</v>
      </c>
      <c r="R123" s="13">
        <f t="shared" si="32"/>
        <v>0.1117830412781049</v>
      </c>
      <c r="S123" s="13">
        <f t="shared" si="33"/>
        <v>0.13301174443015373</v>
      </c>
      <c r="T123" s="13">
        <f t="shared" si="34"/>
        <v>0.1348259558810368</v>
      </c>
      <c r="U123" s="7">
        <f t="shared" si="35"/>
        <v>0.1138376133722343</v>
      </c>
      <c r="V123">
        <v>3026.96</v>
      </c>
      <c r="W123">
        <v>3468.12</v>
      </c>
      <c r="X123">
        <v>3019.777</v>
      </c>
      <c r="Y123">
        <v>3386.4360000000001</v>
      </c>
      <c r="Z123">
        <v>3376.75</v>
      </c>
      <c r="AA123">
        <v>3425.7739999999999</v>
      </c>
      <c r="AB123">
        <v>3385.9520000000002</v>
      </c>
      <c r="AC123">
        <v>3376.81</v>
      </c>
      <c r="AD123">
        <v>3423.94</v>
      </c>
      <c r="AE123" s="14">
        <f>Tabla13[[#This Row],[Calculated HEFT_NC]]/Tabla13[[#This Row],[Real HEFT_NC]]</f>
        <v>0.77400218370201423</v>
      </c>
      <c r="AF123" s="14">
        <f>Tabla13[[#This Row],[Calculated HEFT_DNC]]/Tabla13[[#This Row],[Real HEFT_DNC]]</f>
        <v>0.97381625610369038</v>
      </c>
      <c r="AG123" s="14">
        <f>Tabla13[[#This Row],[Calculated GA_NC]]/Tabla13[[#This Row],[Real GA_NC]]</f>
        <v>0.79736296292384512</v>
      </c>
      <c r="AH123" s="15">
        <f>Tabla13[[#This Row],[Calculated GA_DNC]]/Tabla13[[#This Row],[Real GA_DNC]]</f>
        <v>0.99793925259670968</v>
      </c>
      <c r="AI123" s="15">
        <f>Tabla13[[#This Row],[Calculated HGA_(Ph2)]]/Tabla13[[#This Row],[Real HGA_(Ph2)]]</f>
        <v>0.99856665356634744</v>
      </c>
      <c r="AJ123" s="15">
        <f>Tabla13[[#This Row],[Calculated HGA_(Ph1)]]/Tabla13[[#This Row],[Real HGA_(Ph1)]]</f>
        <v>0.98622305772347651</v>
      </c>
      <c r="AK123" s="15">
        <f>Tabla13[[#This Row],[Calculated HGA^H]]/Tabla13[[#This Row],[Real GA^H]]</f>
        <v>0.99862650043104384</v>
      </c>
      <c r="AL123" s="15">
        <f>Tabla13[[#This Row],[Calculated HGA_(Ph2)^H]]/Tabla13[[#This Row],[Real HGA_(Ph2)^H]]</f>
        <v>0.99801862797080187</v>
      </c>
      <c r="AM123" s="15">
        <f>Tabla13[[#This Row],[Calculated HGA_(Ph1)^H]]/Tabla13[[#This Row],[Real HGA_(Ph1)^H]]</f>
        <v>0.98798041894681876</v>
      </c>
      <c r="AU123"/>
      <c r="AV123"/>
      <c r="AW123"/>
    </row>
    <row r="124" spans="1:49">
      <c r="A124" s="6" t="str">
        <f t="shared" si="27"/>
        <v>srasearch</v>
      </c>
      <c r="B124" t="s">
        <v>26</v>
      </c>
      <c r="C124">
        <f>_xlfn.XLOOKUP(B124,Instances!$B$2:$B$29,Instances!$A$2:$A$29,,0,1)</f>
        <v>22</v>
      </c>
      <c r="D124">
        <v>4</v>
      </c>
      <c r="E124">
        <v>1993.39</v>
      </c>
      <c r="F124">
        <v>1777.84</v>
      </c>
      <c r="G124">
        <v>1933.1590000000001</v>
      </c>
      <c r="H124">
        <v>1772.6179999999999</v>
      </c>
      <c r="I124">
        <v>1752.921</v>
      </c>
      <c r="J124">
        <v>1718.9159999999999</v>
      </c>
      <c r="K124">
        <v>1735.319</v>
      </c>
      <c r="L124">
        <v>1749.492</v>
      </c>
      <c r="M124">
        <v>1718.0609999999999</v>
      </c>
      <c r="N124" s="13">
        <f t="shared" si="28"/>
        <v>0.10813237750766291</v>
      </c>
      <c r="O124" s="13">
        <f t="shared" si="29"/>
        <v>3.0215361770652E-2</v>
      </c>
      <c r="P124" s="13">
        <f t="shared" si="30"/>
        <v>0.11075203547725239</v>
      </c>
      <c r="Q124" s="13">
        <f t="shared" si="31"/>
        <v>0.12063319270187974</v>
      </c>
      <c r="R124" s="13">
        <f t="shared" si="32"/>
        <v>0.13769207229894809</v>
      </c>
      <c r="S124" s="13">
        <f t="shared" si="33"/>
        <v>0.1294633764591977</v>
      </c>
      <c r="T124" s="13">
        <f t="shared" si="34"/>
        <v>0.12235337791400586</v>
      </c>
      <c r="U124" s="7">
        <f t="shared" si="35"/>
        <v>0.13812098987152546</v>
      </c>
      <c r="V124">
        <v>1629.61</v>
      </c>
      <c r="W124">
        <v>1722.74</v>
      </c>
      <c r="X124">
        <v>1535.73</v>
      </c>
      <c r="Y124">
        <v>1727.231</v>
      </c>
      <c r="Z124">
        <v>1703.8820000000001</v>
      </c>
      <c r="AA124">
        <v>1715.93</v>
      </c>
      <c r="AB124">
        <v>1721.4380000000001</v>
      </c>
      <c r="AC124">
        <v>1701.7819999999999</v>
      </c>
      <c r="AD124">
        <v>1715.3889999999999</v>
      </c>
      <c r="AE124" s="14">
        <f>Tabla13[[#This Row],[Calculated HEFT_NC]]/Tabla13[[#This Row],[Real HEFT_NC]]</f>
        <v>0.81750686017287122</v>
      </c>
      <c r="AF124" s="14">
        <f>Tabla13[[#This Row],[Calculated HEFT_DNC]]/Tabla13[[#This Row],[Real HEFT_DNC]]</f>
        <v>0.96900733474328404</v>
      </c>
      <c r="AG124" s="14">
        <f>Tabla13[[#This Row],[Calculated GA_NC]]/Tabla13[[#This Row],[Real GA_NC]]</f>
        <v>0.79441473774273086</v>
      </c>
      <c r="AH124" s="15">
        <f>Tabla13[[#This Row],[Calculated GA_DNC]]/Tabla13[[#This Row],[Real GA_DNC]]</f>
        <v>0.9743954986353518</v>
      </c>
      <c r="AI124" s="15">
        <f>Tabla13[[#This Row],[Calculated HGA_(Ph2)]]/Tabla13[[#This Row],[Real HGA_(Ph2)]]</f>
        <v>0.97202440954270042</v>
      </c>
      <c r="AJ124" s="15">
        <f>Tabla13[[#This Row],[Calculated HGA_(Ph1)]]/Tabla13[[#This Row],[Real HGA_(Ph1)]]</f>
        <v>0.99826285868535758</v>
      </c>
      <c r="AK124" s="15">
        <f>Tabla13[[#This Row],[Calculated HGA^H]]/Tabla13[[#This Row],[Real GA^H]]</f>
        <v>0.99200089436005723</v>
      </c>
      <c r="AL124" s="15">
        <f>Tabla13[[#This Row],[Calculated HGA_(Ph2)^H]]/Tabla13[[#This Row],[Real HGA_(Ph2)^H]]</f>
        <v>0.97272922654119021</v>
      </c>
      <c r="AM124" s="15">
        <f>Tabla13[[#This Row],[Calculated HGA_(Ph1)^H]]/Tabla13[[#This Row],[Real HGA_(Ph1)^H]]</f>
        <v>0.99844475836422575</v>
      </c>
      <c r="AU124"/>
      <c r="AV124"/>
      <c r="AW124"/>
    </row>
    <row r="125" spans="1:49">
      <c r="A125" s="6" t="str">
        <f t="shared" si="27"/>
        <v>srasearch</v>
      </c>
      <c r="B125" t="s">
        <v>26</v>
      </c>
      <c r="C125">
        <f>_xlfn.XLOOKUP(B125,Instances!$B$2:$B$29,Instances!$A$2:$A$29,,0,1)</f>
        <v>22</v>
      </c>
      <c r="D125">
        <v>8</v>
      </c>
      <c r="E125">
        <v>1233.52</v>
      </c>
      <c r="F125">
        <v>1086.79</v>
      </c>
      <c r="G125">
        <v>1179.6369999999999</v>
      </c>
      <c r="H125">
        <v>1046.0840000000001</v>
      </c>
      <c r="I125">
        <v>950.04510000000005</v>
      </c>
      <c r="J125">
        <v>966.91960000000017</v>
      </c>
      <c r="K125">
        <v>1062.77</v>
      </c>
      <c r="L125">
        <v>949.48340000000007</v>
      </c>
      <c r="M125">
        <v>966.92499999999995</v>
      </c>
      <c r="N125" s="13">
        <f t="shared" si="28"/>
        <v>0.11895226668396136</v>
      </c>
      <c r="O125" s="13">
        <f t="shared" si="29"/>
        <v>4.3682307542642226E-2</v>
      </c>
      <c r="P125" s="13">
        <f t="shared" si="30"/>
        <v>0.15195213697386337</v>
      </c>
      <c r="Q125" s="13">
        <f t="shared" si="31"/>
        <v>0.22980973150009723</v>
      </c>
      <c r="R125" s="13">
        <f t="shared" si="32"/>
        <v>0.21612977495297994</v>
      </c>
      <c r="S125" s="13">
        <f t="shared" si="33"/>
        <v>0.13842499513587134</v>
      </c>
      <c r="T125" s="13">
        <f t="shared" si="34"/>
        <v>0.23026509501264666</v>
      </c>
      <c r="U125" s="7">
        <f t="shared" si="35"/>
        <v>0.21612539723717494</v>
      </c>
      <c r="V125">
        <v>940.51200000000006</v>
      </c>
      <c r="W125">
        <v>1086.6500000000001</v>
      </c>
      <c r="X125">
        <v>942.75600000000009</v>
      </c>
      <c r="Y125">
        <v>1045.5889999999999</v>
      </c>
      <c r="Z125">
        <v>949.99080000000015</v>
      </c>
      <c r="AA125">
        <v>962.91049999999996</v>
      </c>
      <c r="AB125">
        <v>1058.451</v>
      </c>
      <c r="AC125">
        <v>949.42920000000015</v>
      </c>
      <c r="AD125">
        <v>962.25699999999995</v>
      </c>
      <c r="AE125" s="14">
        <f>Tabla13[[#This Row],[Calculated HEFT_NC]]/Tabla13[[#This Row],[Real HEFT_NC]]</f>
        <v>0.76246189765873273</v>
      </c>
      <c r="AF125" s="14">
        <f>Tabla13[[#This Row],[Calculated HEFT_DNC]]/Tabla13[[#This Row],[Real HEFT_DNC]]</f>
        <v>0.99987118026481669</v>
      </c>
      <c r="AG125" s="14">
        <f>Tabla13[[#This Row],[Calculated GA_NC]]/Tabla13[[#This Row],[Real GA_NC]]</f>
        <v>0.79919161572585473</v>
      </c>
      <c r="AH125" s="15">
        <f>Tabla13[[#This Row],[Calculated GA_DNC]]/Tabla13[[#This Row],[Real GA_DNC]]</f>
        <v>0.99952680664267868</v>
      </c>
      <c r="AI125" s="15">
        <f>Tabla13[[#This Row],[Calculated HGA_(Ph2)]]/Tabla13[[#This Row],[Real HGA_(Ph2)]]</f>
        <v>0.99994284481863027</v>
      </c>
      <c r="AJ125" s="15">
        <f>Tabla13[[#This Row],[Calculated HGA_(Ph1)]]/Tabla13[[#This Row],[Real HGA_(Ph1)]]</f>
        <v>0.99585374006277227</v>
      </c>
      <c r="AK125" s="15">
        <f>Tabla13[[#This Row],[Calculated HGA^H]]/Tabla13[[#This Row],[Real GA^H]]</f>
        <v>0.99593609153438656</v>
      </c>
      <c r="AL125" s="15">
        <f>Tabla13[[#This Row],[Calculated HGA_(Ph2)^H]]/Tabla13[[#This Row],[Real HGA_(Ph2)^H]]</f>
        <v>0.99994291632692056</v>
      </c>
      <c r="AM125" s="15">
        <f>Tabla13[[#This Row],[Calculated HGA_(Ph1)^H]]/Tabla13[[#This Row],[Real HGA_(Ph1)^H]]</f>
        <v>0.99517232463738137</v>
      </c>
      <c r="AU125"/>
      <c r="AV125"/>
      <c r="AW125"/>
    </row>
    <row r="126" spans="1:49">
      <c r="A126" s="6" t="str">
        <f t="shared" si="27"/>
        <v>srasearch</v>
      </c>
      <c r="B126" t="s">
        <v>26</v>
      </c>
      <c r="C126">
        <f>_xlfn.XLOOKUP(B126,Instances!$B$2:$B$29,Instances!$A$2:$A$29,,0,1)</f>
        <v>22</v>
      </c>
      <c r="D126">
        <v>16</v>
      </c>
      <c r="E126">
        <v>1186.18</v>
      </c>
      <c r="F126">
        <v>882.8889999999999</v>
      </c>
      <c r="G126">
        <v>973.96859999999992</v>
      </c>
      <c r="H126">
        <v>882.73809999999992</v>
      </c>
      <c r="I126">
        <v>882.50499999999988</v>
      </c>
      <c r="J126">
        <v>882.50580000000014</v>
      </c>
      <c r="K126">
        <v>882.50499999999988</v>
      </c>
      <c r="L126">
        <v>882.50499999999988</v>
      </c>
      <c r="M126">
        <v>882.50679999999988</v>
      </c>
      <c r="N126" s="13">
        <f t="shared" si="28"/>
        <v>0.25568716383685458</v>
      </c>
      <c r="O126" s="13">
        <f t="shared" si="29"/>
        <v>0.17890320187492634</v>
      </c>
      <c r="P126" s="13">
        <f t="shared" si="30"/>
        <v>0.25581437893068515</v>
      </c>
      <c r="Q126" s="13">
        <f t="shared" si="31"/>
        <v>0.25601089210743744</v>
      </c>
      <c r="R126" s="13">
        <f t="shared" si="32"/>
        <v>0.25601021767354021</v>
      </c>
      <c r="S126" s="13">
        <f t="shared" si="33"/>
        <v>0.25601089210743744</v>
      </c>
      <c r="T126" s="13">
        <f t="shared" si="34"/>
        <v>0.25601089210743744</v>
      </c>
      <c r="U126" s="7">
        <f t="shared" si="35"/>
        <v>0.25600937463116907</v>
      </c>
      <c r="V126">
        <v>848.68600000000004</v>
      </c>
      <c r="W126">
        <v>882.81100000000004</v>
      </c>
      <c r="X126">
        <v>848.68600000000004</v>
      </c>
      <c r="Y126">
        <v>882.45299999999986</v>
      </c>
      <c r="Z126">
        <v>882.45299999999986</v>
      </c>
      <c r="AA126">
        <v>882.45299999999986</v>
      </c>
      <c r="AB126">
        <v>882.45299999999986</v>
      </c>
      <c r="AC126">
        <v>882.45299999999986</v>
      </c>
      <c r="AD126">
        <v>882.45299999999986</v>
      </c>
      <c r="AE126" s="14">
        <f>Tabla13[[#This Row],[Calculated HEFT_NC]]/Tabla13[[#This Row],[Real HEFT_NC]]</f>
        <v>0.71547825793724396</v>
      </c>
      <c r="AF126" s="14">
        <f>Tabla13[[#This Row],[Calculated HEFT_DNC]]/Tabla13[[#This Row],[Real HEFT_DNC]]</f>
        <v>0.99991165367333845</v>
      </c>
      <c r="AG126" s="14">
        <f>Tabla13[[#This Row],[Calculated GA_NC]]/Tabla13[[#This Row],[Real GA_NC]]</f>
        <v>0.87136895378352042</v>
      </c>
      <c r="AH126" s="15">
        <f>Tabla13[[#This Row],[Calculated GA_DNC]]/Tabla13[[#This Row],[Real GA_DNC]]</f>
        <v>0.99967702764840438</v>
      </c>
      <c r="AI126" s="15">
        <f>Tabla13[[#This Row],[Calculated HGA_(Ph2)]]/Tabla13[[#This Row],[Real HGA_(Ph2)]]</f>
        <v>0.99994107682109445</v>
      </c>
      <c r="AJ126" s="15">
        <f>Tabla13[[#This Row],[Calculated HGA_(Ph1)]]/Tabla13[[#This Row],[Real HGA_(Ph1)]]</f>
        <v>0.99994017036488569</v>
      </c>
      <c r="AK126" s="15">
        <f>Tabla13[[#This Row],[Calculated HGA^H]]/Tabla13[[#This Row],[Real GA^H]]</f>
        <v>0.99994107682109445</v>
      </c>
      <c r="AL126" s="15">
        <f>Tabla13[[#This Row],[Calculated HGA_(Ph2)^H]]/Tabla13[[#This Row],[Real HGA_(Ph2)^H]]</f>
        <v>0.99994107682109445</v>
      </c>
      <c r="AM126" s="15">
        <f>Tabla13[[#This Row],[Calculated HGA_(Ph1)^H]]/Tabla13[[#This Row],[Real HGA_(Ph1)^H]]</f>
        <v>0.99993903729693634</v>
      </c>
      <c r="AU126"/>
      <c r="AV126"/>
      <c r="AW126"/>
    </row>
    <row r="127" spans="1:49">
      <c r="A127" s="6" t="str">
        <f t="shared" si="27"/>
        <v>srasearch</v>
      </c>
      <c r="B127" t="s">
        <v>27</v>
      </c>
      <c r="C127">
        <f>_xlfn.XLOOKUP(B127,Instances!$B$2:$B$29,Instances!$A$2:$A$29,,0,1)</f>
        <v>42</v>
      </c>
      <c r="D127">
        <v>1</v>
      </c>
      <c r="E127">
        <v>34946.199999999997</v>
      </c>
      <c r="F127">
        <v>34946.199999999997</v>
      </c>
      <c r="G127">
        <v>34946.199999999997</v>
      </c>
      <c r="H127">
        <v>34946.199999999997</v>
      </c>
      <c r="I127">
        <v>34946.199999999997</v>
      </c>
      <c r="J127">
        <v>34946.199999999997</v>
      </c>
      <c r="K127">
        <v>34946.199999999997</v>
      </c>
      <c r="L127">
        <v>34946.199999999997</v>
      </c>
      <c r="M127">
        <v>34946.199999999997</v>
      </c>
      <c r="N127" s="13">
        <f t="shared" si="28"/>
        <v>0</v>
      </c>
      <c r="O127" s="13">
        <f t="shared" si="29"/>
        <v>0</v>
      </c>
      <c r="P127" s="13">
        <f t="shared" si="30"/>
        <v>0</v>
      </c>
      <c r="Q127" s="13">
        <f t="shared" si="31"/>
        <v>0</v>
      </c>
      <c r="R127" s="13">
        <f t="shared" si="32"/>
        <v>0</v>
      </c>
      <c r="S127" s="13">
        <f t="shared" si="33"/>
        <v>0</v>
      </c>
      <c r="T127" s="13">
        <f t="shared" si="34"/>
        <v>0</v>
      </c>
      <c r="U127" s="7">
        <f t="shared" si="35"/>
        <v>0</v>
      </c>
      <c r="V127">
        <v>31868.900000000009</v>
      </c>
      <c r="W127">
        <v>34946.099999999991</v>
      </c>
      <c r="X127">
        <v>31868.900000000009</v>
      </c>
      <c r="Y127">
        <v>34946.099999999991</v>
      </c>
      <c r="Z127">
        <v>34946.099999999991</v>
      </c>
      <c r="AA127">
        <v>34946.099999999991</v>
      </c>
      <c r="AB127">
        <v>34946.099999999991</v>
      </c>
      <c r="AC127">
        <v>34946.099999999991</v>
      </c>
      <c r="AD127">
        <v>34946.099999999991</v>
      </c>
      <c r="AE127" s="14">
        <f>Tabla13[[#This Row],[Calculated HEFT_NC]]/Tabla13[[#This Row],[Real HEFT_NC]]</f>
        <v>0.9119417848006367</v>
      </c>
      <c r="AF127" s="14">
        <f>Tabla13[[#This Row],[Calculated HEFT_DNC]]/Tabla13[[#This Row],[Real HEFT_DNC]]</f>
        <v>0.99999713845854465</v>
      </c>
      <c r="AG127" s="14">
        <f>Tabla13[[#This Row],[Calculated GA_NC]]/Tabla13[[#This Row],[Real GA_NC]]</f>
        <v>0.9119417848006367</v>
      </c>
      <c r="AH127" s="15">
        <f>Tabla13[[#This Row],[Calculated GA_DNC]]/Tabla13[[#This Row],[Real GA_DNC]]</f>
        <v>0.99999713845854465</v>
      </c>
      <c r="AI127" s="15">
        <f>Tabla13[[#This Row],[Calculated HGA_(Ph2)]]/Tabla13[[#This Row],[Real HGA_(Ph2)]]</f>
        <v>0.99999713845854465</v>
      </c>
      <c r="AJ127" s="15">
        <f>Tabla13[[#This Row],[Calculated HGA_(Ph1)]]/Tabla13[[#This Row],[Real HGA_(Ph1)]]</f>
        <v>0.99999713845854465</v>
      </c>
      <c r="AK127" s="15">
        <f>Tabla13[[#This Row],[Calculated HGA^H]]/Tabla13[[#This Row],[Real GA^H]]</f>
        <v>0.99999713845854465</v>
      </c>
      <c r="AL127" s="15">
        <f>Tabla13[[#This Row],[Calculated HGA_(Ph2)^H]]/Tabla13[[#This Row],[Real HGA_(Ph2)^H]]</f>
        <v>0.99999713845854465</v>
      </c>
      <c r="AM127" s="15">
        <f>Tabla13[[#This Row],[Calculated HGA_(Ph1)^H]]/Tabla13[[#This Row],[Real HGA_(Ph1)^H]]</f>
        <v>0.99999713845854465</v>
      </c>
      <c r="AU127"/>
      <c r="AV127"/>
      <c r="AW127"/>
    </row>
    <row r="128" spans="1:49">
      <c r="A128" s="6" t="str">
        <f t="shared" si="27"/>
        <v>srasearch</v>
      </c>
      <c r="B128" t="s">
        <v>27</v>
      </c>
      <c r="C128">
        <f>_xlfn.XLOOKUP(B128,Instances!$B$2:$B$29,Instances!$A$2:$A$29,,0,1)</f>
        <v>42</v>
      </c>
      <c r="D128">
        <v>2</v>
      </c>
      <c r="E128">
        <v>17390.8</v>
      </c>
      <c r="F128">
        <v>16827.5</v>
      </c>
      <c r="G128">
        <v>17216.38</v>
      </c>
      <c r="H128">
        <v>16620.45</v>
      </c>
      <c r="I128">
        <v>16524.78</v>
      </c>
      <c r="J128">
        <v>16761.740000000002</v>
      </c>
      <c r="K128">
        <v>16629.3</v>
      </c>
      <c r="L128">
        <v>16511.98</v>
      </c>
      <c r="M128">
        <v>16778.02</v>
      </c>
      <c r="N128" s="13">
        <f t="shared" si="28"/>
        <v>3.2390689329990528E-2</v>
      </c>
      <c r="O128" s="13">
        <f t="shared" si="29"/>
        <v>1.002944085378466E-2</v>
      </c>
      <c r="P128" s="13">
        <f t="shared" si="30"/>
        <v>4.4296409595878196E-2</v>
      </c>
      <c r="Q128" s="13">
        <f t="shared" si="31"/>
        <v>4.9797594130229807E-2</v>
      </c>
      <c r="R128" s="13">
        <f t="shared" si="32"/>
        <v>3.6171998987970522E-2</v>
      </c>
      <c r="S128" s="13">
        <f t="shared" si="33"/>
        <v>4.3787519838075308E-2</v>
      </c>
      <c r="T128" s="13">
        <f t="shared" si="34"/>
        <v>5.0533615474848755E-2</v>
      </c>
      <c r="U128" s="7">
        <f t="shared" si="35"/>
        <v>3.5235871840283303E-2</v>
      </c>
      <c r="V128">
        <v>15942.8</v>
      </c>
      <c r="W128">
        <v>16707.900000000001</v>
      </c>
      <c r="X128">
        <v>15934.62</v>
      </c>
      <c r="Y128">
        <v>16577.650000000001</v>
      </c>
      <c r="Z128">
        <v>16504.89</v>
      </c>
      <c r="AA128">
        <v>16659.14</v>
      </c>
      <c r="AB128">
        <v>16581.329999999991</v>
      </c>
      <c r="AC128">
        <v>16502.12</v>
      </c>
      <c r="AD128">
        <v>16659.97</v>
      </c>
      <c r="AE128" s="14">
        <f>Tabla13[[#This Row],[Calculated HEFT_NC]]/Tabla13[[#This Row],[Real HEFT_NC]]</f>
        <v>0.91673758538997629</v>
      </c>
      <c r="AF128" s="14">
        <f>Tabla13[[#This Row],[Calculated HEFT_DNC]]/Tabla13[[#This Row],[Real HEFT_DNC]]</f>
        <v>0.9928925865398901</v>
      </c>
      <c r="AG128" s="14">
        <f>Tabla13[[#This Row],[Calculated GA_NC]]/Tabla13[[#This Row],[Real GA_NC]]</f>
        <v>0.9255499704351321</v>
      </c>
      <c r="AH128" s="15">
        <f>Tabla13[[#This Row],[Calculated GA_DNC]]/Tabla13[[#This Row],[Real GA_DNC]]</f>
        <v>0.99742485913437973</v>
      </c>
      <c r="AI128" s="15">
        <f>Tabla13[[#This Row],[Calculated HGA_(Ph2)]]/Tabla13[[#This Row],[Real HGA_(Ph2)]]</f>
        <v>0.99879635311332438</v>
      </c>
      <c r="AJ128" s="15">
        <f>Tabla13[[#This Row],[Calculated HGA_(Ph1)]]/Tabla13[[#This Row],[Real HGA_(Ph1)]]</f>
        <v>0.99387891710526455</v>
      </c>
      <c r="AK128" s="15">
        <f>Tabla13[[#This Row],[Calculated HGA^H]]/Tabla13[[#This Row],[Real GA^H]]</f>
        <v>0.99711533257563412</v>
      </c>
      <c r="AL128" s="15">
        <f>Tabla13[[#This Row],[Calculated HGA_(Ph2)^H]]/Tabla13[[#This Row],[Real HGA_(Ph2)^H]]</f>
        <v>0.99940285780384908</v>
      </c>
      <c r="AM128" s="15">
        <f>Tabla13[[#This Row],[Calculated HGA_(Ph1)^H]]/Tabla13[[#This Row],[Real HGA_(Ph1)^H]]</f>
        <v>0.99296400886397806</v>
      </c>
      <c r="AU128"/>
      <c r="AV128"/>
      <c r="AW128"/>
    </row>
    <row r="129" spans="1:49">
      <c r="A129" s="6" t="str">
        <f t="shared" si="27"/>
        <v>srasearch</v>
      </c>
      <c r="B129" t="s">
        <v>27</v>
      </c>
      <c r="C129">
        <f>_xlfn.XLOOKUP(B129,Instances!$B$2:$B$29,Instances!$A$2:$A$29,,0,1)</f>
        <v>42</v>
      </c>
      <c r="D129">
        <v>4</v>
      </c>
      <c r="E129">
        <v>8528.619999999999</v>
      </c>
      <c r="F129">
        <v>8530.33</v>
      </c>
      <c r="G129">
        <v>8782.1409999999996</v>
      </c>
      <c r="H129">
        <v>8426.9060000000009</v>
      </c>
      <c r="I129">
        <v>8346.8490000000002</v>
      </c>
      <c r="J129">
        <v>8594.8559999999998</v>
      </c>
      <c r="K129">
        <v>8493.6669999999976</v>
      </c>
      <c r="L129">
        <v>8328.4029999999984</v>
      </c>
      <c r="M129">
        <v>8521.773000000001</v>
      </c>
      <c r="N129" s="13">
        <f t="shared" si="28"/>
        <v>-2.0050137067907189E-4</v>
      </c>
      <c r="O129" s="13">
        <f t="shared" si="29"/>
        <v>-2.9725911108714032E-2</v>
      </c>
      <c r="P129" s="13">
        <f t="shared" si="30"/>
        <v>1.1926196735227755E-2</v>
      </c>
      <c r="Q129" s="13">
        <f t="shared" si="31"/>
        <v>2.1313061198646305E-2</v>
      </c>
      <c r="R129" s="13">
        <f t="shared" si="32"/>
        <v>-7.7663209288256242E-3</v>
      </c>
      <c r="S129" s="13">
        <f t="shared" si="33"/>
        <v>4.0983183680362526E-3</v>
      </c>
      <c r="T129" s="13">
        <f t="shared" si="34"/>
        <v>2.3475896452181077E-2</v>
      </c>
      <c r="U129" s="7">
        <f t="shared" si="35"/>
        <v>8.0282624856048629E-4</v>
      </c>
      <c r="V129">
        <v>7978.2299999999987</v>
      </c>
      <c r="W129">
        <v>8395.1499999999978</v>
      </c>
      <c r="X129">
        <v>8024.0860000000002</v>
      </c>
      <c r="Y129">
        <v>8349.5669999999991</v>
      </c>
      <c r="Z129">
        <v>8270.8809999999994</v>
      </c>
      <c r="AA129">
        <v>8487.4189999999999</v>
      </c>
      <c r="AB129">
        <v>8359.2650000000012</v>
      </c>
      <c r="AC129">
        <v>8276.4000000000015</v>
      </c>
      <c r="AD129">
        <v>8395.0280000000002</v>
      </c>
      <c r="AE129" s="14">
        <f>Tabla13[[#This Row],[Calculated HEFT_NC]]/Tabla13[[#This Row],[Real HEFT_NC]]</f>
        <v>0.93546552666199212</v>
      </c>
      <c r="AF129" s="14">
        <f>Tabla13[[#This Row],[Calculated HEFT_DNC]]/Tabla13[[#This Row],[Real HEFT_DNC]]</f>
        <v>0.98415301635458396</v>
      </c>
      <c r="AG129" s="14">
        <f>Tabla13[[#This Row],[Calculated GA_NC]]/Tabla13[[#This Row],[Real GA_NC]]</f>
        <v>0.9136822102947334</v>
      </c>
      <c r="AH129" s="15">
        <f>Tabla13[[#This Row],[Calculated GA_DNC]]/Tabla13[[#This Row],[Real GA_DNC]]</f>
        <v>0.99082237300380449</v>
      </c>
      <c r="AI129" s="15">
        <f>Tabla13[[#This Row],[Calculated HGA_(Ph2)]]/Tabla13[[#This Row],[Real HGA_(Ph2)]]</f>
        <v>0.99089860137639951</v>
      </c>
      <c r="AJ129" s="15">
        <f>Tabla13[[#This Row],[Calculated HGA_(Ph1)]]/Tabla13[[#This Row],[Real HGA_(Ph1)]]</f>
        <v>0.9874998487467388</v>
      </c>
      <c r="AK129" s="15">
        <f>Tabla13[[#This Row],[Calculated HGA^H]]/Tabla13[[#This Row],[Real GA^H]]</f>
        <v>0.98417621034589697</v>
      </c>
      <c r="AL129" s="15">
        <f>Tabla13[[#This Row],[Calculated HGA_(Ph2)^H]]/Tabla13[[#This Row],[Real HGA_(Ph2)^H]]</f>
        <v>0.99375594576775439</v>
      </c>
      <c r="AM129" s="15">
        <f>Tabla13[[#This Row],[Calculated HGA_(Ph1)^H]]/Tabla13[[#This Row],[Real HGA_(Ph1)^H]]</f>
        <v>0.98512692135779711</v>
      </c>
      <c r="AU129"/>
      <c r="AV129"/>
      <c r="AW129"/>
    </row>
    <row r="130" spans="1:49">
      <c r="A130" s="6" t="str">
        <f t="shared" ref="A130:A141" si="36">LEFT(B130,FIND("-",B130)-1)</f>
        <v>srasearch</v>
      </c>
      <c r="B130" t="s">
        <v>27</v>
      </c>
      <c r="C130">
        <f>_xlfn.XLOOKUP(B130,Instances!$B$2:$B$29,Instances!$A$2:$A$29,,0,1)</f>
        <v>42</v>
      </c>
      <c r="D130">
        <v>8</v>
      </c>
      <c r="E130">
        <v>4605.6000000000004</v>
      </c>
      <c r="F130">
        <v>4255.6600000000008</v>
      </c>
      <c r="G130">
        <v>4615.588999999999</v>
      </c>
      <c r="H130">
        <v>4480.5290000000005</v>
      </c>
      <c r="I130">
        <v>4283.8490000000002</v>
      </c>
      <c r="J130">
        <v>4466.1560000000009</v>
      </c>
      <c r="K130">
        <v>4275.4409999999998</v>
      </c>
      <c r="L130">
        <v>4222.0350000000008</v>
      </c>
      <c r="M130">
        <v>4255.6600000000008</v>
      </c>
      <c r="N130" s="13">
        <f t="shared" ref="N130:N141" si="37">(($E130-F130)/$E130)</f>
        <v>7.5981413930866673E-2</v>
      </c>
      <c r="O130" s="13">
        <f t="shared" ref="O130:O141" si="38">(($E130-G130)/$E130)</f>
        <v>-2.1688813618201035E-3</v>
      </c>
      <c r="P130" s="13">
        <f t="shared" ref="P130:P141" si="39">(($E130-H130)/$E130)</f>
        <v>2.7156287997220755E-2</v>
      </c>
      <c r="Q130" s="13">
        <f t="shared" ref="Q130:Q141" si="40">(($E130-I130)/$E130)</f>
        <v>6.9860821608476675E-2</v>
      </c>
      <c r="R130" s="13">
        <f t="shared" ref="R130:R141" si="41">(($E130-J130)/$E130)</f>
        <v>3.0277054021191484E-2</v>
      </c>
      <c r="S130" s="13">
        <f t="shared" ref="S130:S141" si="42">(($E130-K130)/$E130)</f>
        <v>7.1686425221469632E-2</v>
      </c>
      <c r="T130" s="13">
        <f t="shared" ref="T130:T141" si="43">(($E130-L130)/$E130)</f>
        <v>8.3282308494007196E-2</v>
      </c>
      <c r="U130" s="7">
        <f t="shared" ref="U130:U141" si="44">(($E130-M130)/$E130)</f>
        <v>7.5981413930866673E-2</v>
      </c>
      <c r="V130">
        <v>4068.1799999999989</v>
      </c>
      <c r="W130">
        <v>4212.99</v>
      </c>
      <c r="X130">
        <v>4281.1869999999999</v>
      </c>
      <c r="Y130">
        <v>4458.7480000000014</v>
      </c>
      <c r="Z130">
        <v>4239.9490000000014</v>
      </c>
      <c r="AA130">
        <v>4410.75</v>
      </c>
      <c r="AB130">
        <v>4212.99</v>
      </c>
      <c r="AC130">
        <v>4168.4429999999993</v>
      </c>
      <c r="AD130">
        <v>4212.99</v>
      </c>
      <c r="AE130" s="14">
        <f>Tabla13[[#This Row],[Calculated HEFT_NC]]/Tabla13[[#This Row],[Real HEFT_NC]]</f>
        <v>0.88331162063574753</v>
      </c>
      <c r="AF130" s="14">
        <f>Tabla13[[#This Row],[Calculated HEFT_DNC]]/Tabla13[[#This Row],[Real HEFT_DNC]]</f>
        <v>0.9899733531344137</v>
      </c>
      <c r="AG130" s="14">
        <f>Tabla13[[#This Row],[Calculated GA_NC]]/Tabla13[[#This Row],[Real GA_NC]]</f>
        <v>0.92754944168555753</v>
      </c>
      <c r="AH130" s="15">
        <f>Tabla13[[#This Row],[Calculated GA_DNC]]/Tabla13[[#This Row],[Real GA_DNC]]</f>
        <v>0.99513874366174193</v>
      </c>
      <c r="AI130" s="15">
        <f>Tabla13[[#This Row],[Calculated HGA_(Ph2)]]/Tabla13[[#This Row],[Real HGA_(Ph2)]]</f>
        <v>0.98975220648533624</v>
      </c>
      <c r="AJ130" s="15">
        <f>Tabla13[[#This Row],[Calculated HGA_(Ph1)]]/Tabla13[[#This Row],[Real HGA_(Ph1)]]</f>
        <v>0.98759425331313977</v>
      </c>
      <c r="AK130" s="15">
        <f>Tabla13[[#This Row],[Calculated HGA^H]]/Tabla13[[#This Row],[Real GA^H]]</f>
        <v>0.98539308576588935</v>
      </c>
      <c r="AL130" s="15">
        <f>Tabla13[[#This Row],[Calculated HGA_(Ph2)^H]]/Tabla13[[#This Row],[Real HGA_(Ph2)^H]]</f>
        <v>0.98730659504243767</v>
      </c>
      <c r="AM130" s="15">
        <f>Tabla13[[#This Row],[Calculated HGA_(Ph1)^H]]/Tabla13[[#This Row],[Real HGA_(Ph1)^H]]</f>
        <v>0.9899733531344137</v>
      </c>
      <c r="AU130"/>
      <c r="AV130"/>
      <c r="AW130"/>
    </row>
    <row r="131" spans="1:49">
      <c r="A131" s="6" t="str">
        <f t="shared" si="36"/>
        <v>srasearch</v>
      </c>
      <c r="B131" t="s">
        <v>27</v>
      </c>
      <c r="C131">
        <f>_xlfn.XLOOKUP(B131,Instances!$B$2:$B$29,Instances!$A$2:$A$29,,0,1)</f>
        <v>42</v>
      </c>
      <c r="D131">
        <v>16</v>
      </c>
      <c r="E131">
        <v>4248.8000000000011</v>
      </c>
      <c r="F131">
        <v>3981.64</v>
      </c>
      <c r="G131">
        <v>4061.598</v>
      </c>
      <c r="H131">
        <v>3981.2600000000011</v>
      </c>
      <c r="I131">
        <v>3981.2600000000011</v>
      </c>
      <c r="J131">
        <v>3981.2600000000011</v>
      </c>
      <c r="K131">
        <v>3981.592000000001</v>
      </c>
      <c r="L131">
        <v>3981.2600000000011</v>
      </c>
      <c r="M131">
        <v>3981.2600000000011</v>
      </c>
      <c r="N131" s="13">
        <f t="shared" si="37"/>
        <v>6.2878930521559295E-2</v>
      </c>
      <c r="O131" s="13">
        <f t="shared" si="38"/>
        <v>4.4059969873846992E-2</v>
      </c>
      <c r="P131" s="13">
        <f t="shared" si="39"/>
        <v>6.2968367539069828E-2</v>
      </c>
      <c r="Q131" s="13">
        <f t="shared" si="40"/>
        <v>6.2968367539069828E-2</v>
      </c>
      <c r="R131" s="13">
        <f t="shared" si="41"/>
        <v>6.2968367539069828E-2</v>
      </c>
      <c r="S131" s="13">
        <f t="shared" si="42"/>
        <v>6.2890227829034084E-2</v>
      </c>
      <c r="T131" s="13">
        <f t="shared" si="43"/>
        <v>6.2968367539069828E-2</v>
      </c>
      <c r="U131" s="7">
        <f t="shared" si="44"/>
        <v>6.2968367539069828E-2</v>
      </c>
      <c r="V131">
        <v>3951.4499999999989</v>
      </c>
      <c r="W131">
        <v>3981.56</v>
      </c>
      <c r="X131">
        <v>3951.4499999999989</v>
      </c>
      <c r="Y131">
        <v>3981.21</v>
      </c>
      <c r="Z131">
        <v>3981.21</v>
      </c>
      <c r="AA131">
        <v>3981.21</v>
      </c>
      <c r="AB131">
        <v>3981.21</v>
      </c>
      <c r="AC131">
        <v>3981.21</v>
      </c>
      <c r="AD131">
        <v>3981.21</v>
      </c>
      <c r="AE131" s="14">
        <f>Tabla13[[#This Row],[Calculated HEFT_NC]]/Tabla13[[#This Row],[Real HEFT_NC]]</f>
        <v>0.93001553379777768</v>
      </c>
      <c r="AF131" s="14">
        <f>Tabla13[[#This Row],[Calculated HEFT_DNC]]/Tabla13[[#This Row],[Real HEFT_DNC]]</f>
        <v>0.9999799077766951</v>
      </c>
      <c r="AG131" s="14">
        <f>Tabla13[[#This Row],[Calculated GA_NC]]/Tabla13[[#This Row],[Real GA_NC]]</f>
        <v>0.97288062481811322</v>
      </c>
      <c r="AH131" s="15">
        <f>Tabla13[[#This Row],[Calculated GA_DNC]]/Tabla13[[#This Row],[Real GA_DNC]]</f>
        <v>0.99998744116184302</v>
      </c>
      <c r="AI131" s="15">
        <f>Tabla13[[#This Row],[Calculated HGA_(Ph2)]]/Tabla13[[#This Row],[Real HGA_(Ph2)]]</f>
        <v>0.99998744116184302</v>
      </c>
      <c r="AJ131" s="15">
        <f>Tabla13[[#This Row],[Calculated HGA_(Ph1)]]/Tabla13[[#This Row],[Real HGA_(Ph1)]]</f>
        <v>0.99998744116184302</v>
      </c>
      <c r="AK131" s="15">
        <f>Tabla13[[#This Row],[Calculated HGA^H]]/Tabla13[[#This Row],[Real GA^H]]</f>
        <v>0.99990405847711139</v>
      </c>
      <c r="AL131" s="15">
        <f>Tabla13[[#This Row],[Calculated HGA_(Ph2)^H]]/Tabla13[[#This Row],[Real HGA_(Ph2)^H]]</f>
        <v>0.99998744116184302</v>
      </c>
      <c r="AM131" s="15">
        <f>Tabla13[[#This Row],[Calculated HGA_(Ph1)^H]]/Tabla13[[#This Row],[Real HGA_(Ph1)^H]]</f>
        <v>0.99998744116184302</v>
      </c>
      <c r="AU131"/>
      <c r="AV131"/>
      <c r="AW131"/>
    </row>
    <row r="132" spans="1:49">
      <c r="A132" s="6" t="str">
        <f t="shared" si="36"/>
        <v>srasearch</v>
      </c>
      <c r="B132" t="s">
        <v>28</v>
      </c>
      <c r="C132">
        <f>_xlfn.XLOOKUP(B132,Instances!$B$2:$B$29,Instances!$A$2:$A$29,,0,1)</f>
        <v>84</v>
      </c>
      <c r="D132">
        <v>1</v>
      </c>
      <c r="E132">
        <v>43754.599999999991</v>
      </c>
      <c r="F132">
        <v>43754.599999999991</v>
      </c>
      <c r="G132">
        <v>43754.599999999991</v>
      </c>
      <c r="H132">
        <v>43754.599999999991</v>
      </c>
      <c r="I132">
        <v>43754.599999999991</v>
      </c>
      <c r="J132">
        <v>43754.599999999991</v>
      </c>
      <c r="K132">
        <v>43754.599999999991</v>
      </c>
      <c r="L132">
        <v>43754.599999999991</v>
      </c>
      <c r="M132">
        <v>43754.599999999991</v>
      </c>
      <c r="N132" s="13">
        <f t="shared" si="37"/>
        <v>0</v>
      </c>
      <c r="O132" s="13">
        <f t="shared" si="38"/>
        <v>0</v>
      </c>
      <c r="P132" s="13">
        <f t="shared" si="39"/>
        <v>0</v>
      </c>
      <c r="Q132" s="13">
        <f t="shared" si="40"/>
        <v>0</v>
      </c>
      <c r="R132" s="13">
        <f t="shared" si="41"/>
        <v>0</v>
      </c>
      <c r="S132" s="13">
        <f t="shared" si="42"/>
        <v>0</v>
      </c>
      <c r="T132" s="13">
        <f t="shared" si="43"/>
        <v>0</v>
      </c>
      <c r="U132" s="7">
        <f t="shared" si="44"/>
        <v>0</v>
      </c>
      <c r="V132">
        <v>37763.800000000003</v>
      </c>
      <c r="W132">
        <v>43754.400000000009</v>
      </c>
      <c r="X132">
        <v>37763.800000000003</v>
      </c>
      <c r="Y132">
        <v>43754.400000000009</v>
      </c>
      <c r="Z132">
        <v>43754.400000000009</v>
      </c>
      <c r="AA132">
        <v>43754.400000000009</v>
      </c>
      <c r="AB132">
        <v>43754.400000000009</v>
      </c>
      <c r="AC132">
        <v>43754.400000000009</v>
      </c>
      <c r="AD132">
        <v>43754.400000000009</v>
      </c>
      <c r="AE132" s="14">
        <f>Tabla13[[#This Row],[Calculated HEFT_NC]]/Tabla13[[#This Row],[Real HEFT_NC]]</f>
        <v>0.86308182453959148</v>
      </c>
      <c r="AF132" s="14">
        <f>Tabla13[[#This Row],[Calculated HEFT_DNC]]/Tabla13[[#This Row],[Real HEFT_DNC]]</f>
        <v>0.99999542905203154</v>
      </c>
      <c r="AG132" s="14">
        <f>Tabla13[[#This Row],[Calculated GA_NC]]/Tabla13[[#This Row],[Real GA_NC]]</f>
        <v>0.86308182453959148</v>
      </c>
      <c r="AH132" s="15">
        <f>Tabla13[[#This Row],[Calculated GA_DNC]]/Tabla13[[#This Row],[Real GA_DNC]]</f>
        <v>0.99999542905203154</v>
      </c>
      <c r="AI132" s="15">
        <f>Tabla13[[#This Row],[Calculated HGA_(Ph2)]]/Tabla13[[#This Row],[Real HGA_(Ph2)]]</f>
        <v>0.99999542905203154</v>
      </c>
      <c r="AJ132" s="15">
        <f>Tabla13[[#This Row],[Calculated HGA_(Ph1)]]/Tabla13[[#This Row],[Real HGA_(Ph1)]]</f>
        <v>0.99999542905203154</v>
      </c>
      <c r="AK132" s="15">
        <f>Tabla13[[#This Row],[Calculated HGA^H]]/Tabla13[[#This Row],[Real GA^H]]</f>
        <v>0.99999542905203154</v>
      </c>
      <c r="AL132" s="15">
        <f>Tabla13[[#This Row],[Calculated HGA_(Ph2)^H]]/Tabla13[[#This Row],[Real HGA_(Ph2)^H]]</f>
        <v>0.99999542905203154</v>
      </c>
      <c r="AM132" s="15">
        <f>Tabla13[[#This Row],[Calculated HGA_(Ph1)^H]]/Tabla13[[#This Row],[Real HGA_(Ph1)^H]]</f>
        <v>0.99999542905203154</v>
      </c>
      <c r="AU132"/>
      <c r="AV132"/>
      <c r="AW132"/>
    </row>
    <row r="133" spans="1:49">
      <c r="A133" s="6" t="str">
        <f t="shared" si="36"/>
        <v>srasearch</v>
      </c>
      <c r="B133" t="s">
        <v>28</v>
      </c>
      <c r="C133">
        <f>_xlfn.XLOOKUP(B133,Instances!$B$2:$B$29,Instances!$A$2:$A$29,,0,1)</f>
        <v>84</v>
      </c>
      <c r="D133">
        <v>2</v>
      </c>
      <c r="E133">
        <v>21774.3</v>
      </c>
      <c r="F133">
        <v>20720.7</v>
      </c>
      <c r="G133">
        <v>21450.43</v>
      </c>
      <c r="H133">
        <v>20408.689999999999</v>
      </c>
      <c r="I133">
        <v>20216.71</v>
      </c>
      <c r="J133">
        <v>20566.53</v>
      </c>
      <c r="K133">
        <v>20423.48</v>
      </c>
      <c r="L133">
        <v>20221.2</v>
      </c>
      <c r="M133">
        <v>20555.2</v>
      </c>
      <c r="N133" s="13">
        <f t="shared" si="37"/>
        <v>4.838731899532929E-2</v>
      </c>
      <c r="O133" s="13">
        <f t="shared" si="38"/>
        <v>1.4873956912506901E-2</v>
      </c>
      <c r="P133" s="13">
        <f t="shared" si="39"/>
        <v>6.2716597089229068E-2</v>
      </c>
      <c r="Q133" s="13">
        <f t="shared" si="40"/>
        <v>7.1533413244053781E-2</v>
      </c>
      <c r="R133" s="13">
        <f t="shared" si="41"/>
        <v>5.5467684380209721E-2</v>
      </c>
      <c r="S133" s="13">
        <f t="shared" si="42"/>
        <v>6.2037355965518973E-2</v>
      </c>
      <c r="T133" s="13">
        <f t="shared" si="43"/>
        <v>7.1327206844766469E-2</v>
      </c>
      <c r="U133" s="7">
        <f t="shared" si="44"/>
        <v>5.5988022577074741E-2</v>
      </c>
      <c r="V133">
        <v>18883.5</v>
      </c>
      <c r="W133">
        <v>20378.8</v>
      </c>
      <c r="X133">
        <v>18881.93</v>
      </c>
      <c r="Y133">
        <v>20292.48</v>
      </c>
      <c r="Z133">
        <v>20193.8</v>
      </c>
      <c r="AA133">
        <v>20366.93</v>
      </c>
      <c r="AB133">
        <v>20281.47</v>
      </c>
      <c r="AC133">
        <v>20196.77</v>
      </c>
      <c r="AD133">
        <v>20364.990000000002</v>
      </c>
      <c r="AE133" s="14">
        <f>Tabla13[[#This Row],[Calculated HEFT_NC]]/Tabla13[[#This Row],[Real HEFT_NC]]</f>
        <v>0.86723798239208616</v>
      </c>
      <c r="AF133" s="14">
        <f>Tabla13[[#This Row],[Calculated HEFT_DNC]]/Tabla13[[#This Row],[Real HEFT_DNC]]</f>
        <v>0.9834995921952443</v>
      </c>
      <c r="AG133" s="14">
        <f>Tabla13[[#This Row],[Calculated GA_NC]]/Tabla13[[#This Row],[Real GA_NC]]</f>
        <v>0.88025881066253686</v>
      </c>
      <c r="AH133" s="15">
        <f>Tabla13[[#This Row],[Calculated GA_DNC]]/Tabla13[[#This Row],[Real GA_DNC]]</f>
        <v>0.99430585696583174</v>
      </c>
      <c r="AI133" s="15">
        <f>Tabla13[[#This Row],[Calculated HGA_(Ph2)]]/Tabla13[[#This Row],[Real HGA_(Ph2)]]</f>
        <v>0.99886677901597243</v>
      </c>
      <c r="AJ133" s="15">
        <f>Tabla13[[#This Row],[Calculated HGA_(Ph1)]]/Tabla13[[#This Row],[Real HGA_(Ph1)]]</f>
        <v>0.99029491119795132</v>
      </c>
      <c r="AK133" s="15">
        <f>Tabla13[[#This Row],[Calculated HGA^H]]/Tabla13[[#This Row],[Real GA^H]]</f>
        <v>0.99304672856927423</v>
      </c>
      <c r="AL133" s="15">
        <f>Tabla13[[#This Row],[Calculated HGA_(Ph2)^H]]/Tabla13[[#This Row],[Real HGA_(Ph2)^H]]</f>
        <v>0.99879186200621128</v>
      </c>
      <c r="AM133" s="15">
        <f>Tabla13[[#This Row],[Calculated HGA_(Ph1)^H]]/Tabla13[[#This Row],[Real HGA_(Ph1)^H]]</f>
        <v>0.99074638047793262</v>
      </c>
      <c r="AU133"/>
      <c r="AV133"/>
      <c r="AW133"/>
    </row>
    <row r="134" spans="1:49">
      <c r="A134" s="6" t="str">
        <f t="shared" si="36"/>
        <v>srasearch</v>
      </c>
      <c r="B134" t="s">
        <v>28</v>
      </c>
      <c r="C134">
        <f>_xlfn.XLOOKUP(B134,Instances!$B$2:$B$29,Instances!$A$2:$A$29,,0,1)</f>
        <v>84</v>
      </c>
      <c r="D134">
        <v>4</v>
      </c>
      <c r="E134">
        <v>10759.7</v>
      </c>
      <c r="F134">
        <v>10739.1</v>
      </c>
      <c r="G134">
        <v>10917.47</v>
      </c>
      <c r="H134">
        <v>10425.74</v>
      </c>
      <c r="I134">
        <v>10259.200000000001</v>
      </c>
      <c r="J134">
        <v>10492.47</v>
      </c>
      <c r="K134">
        <v>10443.469999999999</v>
      </c>
      <c r="L134">
        <v>10222.82</v>
      </c>
      <c r="M134">
        <v>10501.6</v>
      </c>
      <c r="N134" s="13">
        <f t="shared" si="37"/>
        <v>1.91455152095322E-3</v>
      </c>
      <c r="O134" s="13">
        <f t="shared" si="38"/>
        <v>-1.4663048226251531E-2</v>
      </c>
      <c r="P134" s="13">
        <f t="shared" si="39"/>
        <v>3.1038040094054753E-2</v>
      </c>
      <c r="Q134" s="13">
        <f t="shared" si="40"/>
        <v>4.6516166807624743E-2</v>
      </c>
      <c r="R134" s="13">
        <f t="shared" si="41"/>
        <v>2.4836194317685564E-2</v>
      </c>
      <c r="S134" s="13">
        <f t="shared" si="42"/>
        <v>2.939022463451596E-2</v>
      </c>
      <c r="T134" s="13">
        <f t="shared" si="43"/>
        <v>4.9897301969385854E-2</v>
      </c>
      <c r="U134" s="7">
        <f t="shared" si="44"/>
        <v>2.3987657648447479E-2</v>
      </c>
      <c r="V134">
        <v>9446.3500000000022</v>
      </c>
      <c r="W134">
        <v>10315.700000000001</v>
      </c>
      <c r="X134">
        <v>9443.5620000000017</v>
      </c>
      <c r="Y134">
        <v>10207.77</v>
      </c>
      <c r="Z134">
        <v>10116.74</v>
      </c>
      <c r="AA134">
        <v>10267.219999999999</v>
      </c>
      <c r="AB134">
        <v>10223.41</v>
      </c>
      <c r="AC134">
        <v>10114.049999999999</v>
      </c>
      <c r="AD134">
        <v>10273.549999999999</v>
      </c>
      <c r="AE134" s="14">
        <f>Tabla13[[#This Row],[Calculated HEFT_NC]]/Tabla13[[#This Row],[Real HEFT_NC]]</f>
        <v>0.87793804659981245</v>
      </c>
      <c r="AF134" s="14">
        <f>Tabla13[[#This Row],[Calculated HEFT_DNC]]/Tabla13[[#This Row],[Real HEFT_DNC]]</f>
        <v>0.96057397733515848</v>
      </c>
      <c r="AG134" s="14">
        <f>Tabla13[[#This Row],[Calculated GA_NC]]/Tabla13[[#This Row],[Real GA_NC]]</f>
        <v>0.86499546140268779</v>
      </c>
      <c r="AH134" s="15">
        <f>Tabla13[[#This Row],[Calculated GA_DNC]]/Tabla13[[#This Row],[Real GA_DNC]]</f>
        <v>0.97909309075422946</v>
      </c>
      <c r="AI134" s="15">
        <f>Tabla13[[#This Row],[Calculated HGA_(Ph2)]]/Tabla13[[#This Row],[Real HGA_(Ph2)]]</f>
        <v>0.98611392701185263</v>
      </c>
      <c r="AJ134" s="15">
        <f>Tabla13[[#This Row],[Calculated HGA_(Ph1)]]/Tabla13[[#This Row],[Real HGA_(Ph1)]]</f>
        <v>0.97853222358510439</v>
      </c>
      <c r="AK134" s="15">
        <f>Tabla13[[#This Row],[Calculated HGA^H]]/Tabla13[[#This Row],[Real GA^H]]</f>
        <v>0.9789284596020289</v>
      </c>
      <c r="AL134" s="15">
        <f>Tabla13[[#This Row],[Calculated HGA_(Ph2)^H]]/Tabla13[[#This Row],[Real HGA_(Ph2)^H]]</f>
        <v>0.98936007872583098</v>
      </c>
      <c r="AM134" s="15">
        <f>Tabla13[[#This Row],[Calculated HGA_(Ph1)^H]]/Tabla13[[#This Row],[Real HGA_(Ph1)^H]]</f>
        <v>0.97828426144587477</v>
      </c>
      <c r="AU134"/>
      <c r="AV134"/>
      <c r="AW134"/>
    </row>
    <row r="135" spans="1:49">
      <c r="A135" s="6" t="str">
        <f t="shared" si="36"/>
        <v>srasearch</v>
      </c>
      <c r="B135" t="s">
        <v>28</v>
      </c>
      <c r="C135">
        <f>_xlfn.XLOOKUP(B135,Instances!$B$2:$B$29,Instances!$A$2:$A$29,,0,1)</f>
        <v>84</v>
      </c>
      <c r="D135">
        <v>8</v>
      </c>
      <c r="E135">
        <v>5539.3399999999992</v>
      </c>
      <c r="F135">
        <v>5281.51</v>
      </c>
      <c r="G135">
        <v>5740.1360000000004</v>
      </c>
      <c r="H135">
        <v>5346.549</v>
      </c>
      <c r="I135">
        <v>5180.2550000000001</v>
      </c>
      <c r="J135">
        <v>5425.7979999999998</v>
      </c>
      <c r="K135">
        <v>5287.2389999999996</v>
      </c>
      <c r="L135">
        <v>5205.746000000001</v>
      </c>
      <c r="M135">
        <v>5281.51</v>
      </c>
      <c r="N135" s="13">
        <f t="shared" si="37"/>
        <v>4.6545256294070962E-2</v>
      </c>
      <c r="O135" s="13">
        <f t="shared" si="38"/>
        <v>-3.6249083825871171E-2</v>
      </c>
      <c r="P135" s="13">
        <f t="shared" si="39"/>
        <v>3.4803965815421924E-2</v>
      </c>
      <c r="Q135" s="13">
        <f t="shared" si="40"/>
        <v>6.4824509779143211E-2</v>
      </c>
      <c r="R135" s="13">
        <f t="shared" si="41"/>
        <v>2.0497387775438858E-2</v>
      </c>
      <c r="S135" s="13">
        <f t="shared" si="42"/>
        <v>4.5511017558048379E-2</v>
      </c>
      <c r="T135" s="13">
        <f t="shared" si="43"/>
        <v>6.0222698010954062E-2</v>
      </c>
      <c r="U135" s="7">
        <f t="shared" si="44"/>
        <v>4.6545256294070962E-2</v>
      </c>
      <c r="V135">
        <v>4744.1000000000004</v>
      </c>
      <c r="W135">
        <v>5120.3099999999986</v>
      </c>
      <c r="X135">
        <v>4816.7570000000014</v>
      </c>
      <c r="Y135">
        <v>5201.5070000000014</v>
      </c>
      <c r="Z135">
        <v>5077.76</v>
      </c>
      <c r="AA135">
        <v>5301.4299999999994</v>
      </c>
      <c r="AB135">
        <v>5107.4409999999998</v>
      </c>
      <c r="AC135">
        <v>5061.6380000000008</v>
      </c>
      <c r="AD135">
        <v>5120.3099999999986</v>
      </c>
      <c r="AE135" s="14">
        <f>Tabla13[[#This Row],[Calculated HEFT_NC]]/Tabla13[[#This Row],[Real HEFT_NC]]</f>
        <v>0.85643777056472448</v>
      </c>
      <c r="AF135" s="14">
        <f>Tabla13[[#This Row],[Calculated HEFT_DNC]]/Tabla13[[#This Row],[Real HEFT_DNC]]</f>
        <v>0.96947842567750475</v>
      </c>
      <c r="AG135" s="14">
        <f>Tabla13[[#This Row],[Calculated GA_NC]]/Tabla13[[#This Row],[Real GA_NC]]</f>
        <v>0.83913638979982375</v>
      </c>
      <c r="AH135" s="15">
        <f>Tabla13[[#This Row],[Calculated GA_DNC]]/Tabla13[[#This Row],[Real GA_DNC]]</f>
        <v>0.97287184686795192</v>
      </c>
      <c r="AI135" s="15">
        <f>Tabla13[[#This Row],[Calculated HGA_(Ph2)]]/Tabla13[[#This Row],[Real HGA_(Ph2)]]</f>
        <v>0.98021429447005992</v>
      </c>
      <c r="AJ135" s="15">
        <f>Tabla13[[#This Row],[Calculated HGA_(Ph1)]]/Tabla13[[#This Row],[Real HGA_(Ph1)]]</f>
        <v>0.97707839473566827</v>
      </c>
      <c r="AK135" s="15">
        <f>Tabla13[[#This Row],[Calculated HGA^H]]/Tabla13[[#This Row],[Real GA^H]]</f>
        <v>0.96599397152275512</v>
      </c>
      <c r="AL135" s="15">
        <f>Tabla13[[#This Row],[Calculated HGA_(Ph2)^H]]/Tabla13[[#This Row],[Real HGA_(Ph2)^H]]</f>
        <v>0.97231751222591345</v>
      </c>
      <c r="AM135" s="15">
        <f>Tabla13[[#This Row],[Calculated HGA_(Ph1)^H]]/Tabla13[[#This Row],[Real HGA_(Ph1)^H]]</f>
        <v>0.96947842567750475</v>
      </c>
      <c r="AU135"/>
      <c r="AV135"/>
      <c r="AW135"/>
    </row>
    <row r="136" spans="1:49">
      <c r="A136" s="6" t="str">
        <f t="shared" si="36"/>
        <v>srasearch</v>
      </c>
      <c r="B136" t="s">
        <v>28</v>
      </c>
      <c r="C136">
        <f>_xlfn.XLOOKUP(B136,Instances!$B$2:$B$29,Instances!$A$2:$A$29,,0,1)</f>
        <v>84</v>
      </c>
      <c r="D136">
        <v>16</v>
      </c>
      <c r="E136">
        <v>2899.59</v>
      </c>
      <c r="F136">
        <v>2735.17</v>
      </c>
      <c r="G136">
        <v>3060.8290000000002</v>
      </c>
      <c r="H136">
        <v>2931.5459999999998</v>
      </c>
      <c r="I136">
        <v>2673.74</v>
      </c>
      <c r="J136">
        <v>2880.8040000000001</v>
      </c>
      <c r="K136">
        <v>2728.6610000000001</v>
      </c>
      <c r="L136">
        <v>2613.5680000000002</v>
      </c>
      <c r="M136">
        <v>2735.17</v>
      </c>
      <c r="N136" s="13">
        <f t="shared" si="37"/>
        <v>5.6704568576936759E-2</v>
      </c>
      <c r="O136" s="13">
        <f t="shared" si="38"/>
        <v>-5.5607516924806616E-2</v>
      </c>
      <c r="P136" s="13">
        <f t="shared" si="39"/>
        <v>-1.1020868467610826E-2</v>
      </c>
      <c r="Q136" s="13">
        <f t="shared" si="40"/>
        <v>7.7890322424894673E-2</v>
      </c>
      <c r="R136" s="13">
        <f t="shared" si="41"/>
        <v>6.4788470094047975E-3</v>
      </c>
      <c r="S136" s="13">
        <f t="shared" si="42"/>
        <v>5.8949368703851264E-2</v>
      </c>
      <c r="T136" s="13">
        <f t="shared" si="43"/>
        <v>9.8642221831362342E-2</v>
      </c>
      <c r="U136" s="7">
        <f t="shared" si="44"/>
        <v>5.6704568576936759E-2</v>
      </c>
      <c r="V136">
        <v>2447.0700000000002</v>
      </c>
      <c r="W136">
        <v>2611.25</v>
      </c>
      <c r="X136">
        <v>2688.4380000000001</v>
      </c>
      <c r="Y136">
        <v>2888.223</v>
      </c>
      <c r="Z136">
        <v>2617.8969999999999</v>
      </c>
      <c r="AA136">
        <v>2806.4670000000001</v>
      </c>
      <c r="AB136">
        <v>2583.8980000000001</v>
      </c>
      <c r="AC136">
        <v>2544.2489999999998</v>
      </c>
      <c r="AD136">
        <v>2611.25</v>
      </c>
      <c r="AE136" s="14">
        <f>Tabla13[[#This Row],[Calculated HEFT_NC]]/Tabla13[[#This Row],[Real HEFT_NC]]</f>
        <v>0.84393655654764987</v>
      </c>
      <c r="AF136" s="14">
        <f>Tabla13[[#This Row],[Calculated HEFT_DNC]]/Tabla13[[#This Row],[Real HEFT_DNC]]</f>
        <v>0.95469385815141283</v>
      </c>
      <c r="AG136" s="14">
        <f>Tabla13[[#This Row],[Calculated GA_NC]]/Tabla13[[#This Row],[Real GA_NC]]</f>
        <v>0.87833655522735832</v>
      </c>
      <c r="AH136" s="15">
        <f>Tabla13[[#This Row],[Calculated GA_DNC]]/Tabla13[[#This Row],[Real GA_DNC]]</f>
        <v>0.98522179082299921</v>
      </c>
      <c r="AI136" s="15">
        <f>Tabla13[[#This Row],[Calculated HGA_(Ph2)]]/Tabla13[[#This Row],[Real HGA_(Ph2)]]</f>
        <v>0.97911427438718801</v>
      </c>
      <c r="AJ136" s="15">
        <f>Tabla13[[#This Row],[Calculated HGA_(Ph1)]]/Tabla13[[#This Row],[Real HGA_(Ph1)]]</f>
        <v>0.97419574535442188</v>
      </c>
      <c r="AK136" s="15">
        <f>Tabla13[[#This Row],[Calculated HGA^H]]/Tabla13[[#This Row],[Real GA^H]]</f>
        <v>0.94694723895712951</v>
      </c>
      <c r="AL136" s="15">
        <f>Tabla13[[#This Row],[Calculated HGA_(Ph2)^H]]/Tabla13[[#This Row],[Real HGA_(Ph2)^H]]</f>
        <v>0.97347725408330665</v>
      </c>
      <c r="AM136" s="15">
        <f>Tabla13[[#This Row],[Calculated HGA_(Ph1)^H]]/Tabla13[[#This Row],[Real HGA_(Ph1)^H]]</f>
        <v>0.95469385815141283</v>
      </c>
      <c r="AU136"/>
      <c r="AV136"/>
      <c r="AW136"/>
    </row>
    <row r="137" spans="1:49">
      <c r="A137" s="6" t="str">
        <f t="shared" si="36"/>
        <v>srasearch</v>
      </c>
      <c r="B137" t="s">
        <v>29</v>
      </c>
      <c r="C137">
        <f>_xlfn.XLOOKUP(B137,Instances!$B$2:$B$29,Instances!$A$2:$A$29,,0,1)</f>
        <v>104</v>
      </c>
      <c r="D137">
        <v>1</v>
      </c>
      <c r="E137">
        <v>65518.6</v>
      </c>
      <c r="F137">
        <v>65518.6</v>
      </c>
      <c r="G137">
        <v>65518.6</v>
      </c>
      <c r="H137">
        <v>65518.6</v>
      </c>
      <c r="I137">
        <v>65518.6</v>
      </c>
      <c r="J137">
        <v>65518.6</v>
      </c>
      <c r="K137">
        <v>65518.6</v>
      </c>
      <c r="L137">
        <v>65518.6</v>
      </c>
      <c r="M137">
        <v>65518.6</v>
      </c>
      <c r="N137" s="13">
        <f t="shared" si="37"/>
        <v>0</v>
      </c>
      <c r="O137" s="13">
        <f t="shared" si="38"/>
        <v>0</v>
      </c>
      <c r="P137" s="13">
        <f t="shared" si="39"/>
        <v>0</v>
      </c>
      <c r="Q137" s="13">
        <f t="shared" si="40"/>
        <v>0</v>
      </c>
      <c r="R137" s="13">
        <f t="shared" si="41"/>
        <v>0</v>
      </c>
      <c r="S137" s="13">
        <f t="shared" si="42"/>
        <v>0</v>
      </c>
      <c r="T137" s="13">
        <f t="shared" si="43"/>
        <v>0</v>
      </c>
      <c r="U137" s="7">
        <f t="shared" si="44"/>
        <v>0</v>
      </c>
      <c r="V137">
        <v>57806.7</v>
      </c>
      <c r="W137">
        <v>65518.400000000001</v>
      </c>
      <c r="X137">
        <v>57806.7</v>
      </c>
      <c r="Y137">
        <v>65518.400000000001</v>
      </c>
      <c r="Z137">
        <v>65518.400000000001</v>
      </c>
      <c r="AA137">
        <v>65518.400000000001</v>
      </c>
      <c r="AB137">
        <v>65518.400000000001</v>
      </c>
      <c r="AC137">
        <v>65518.400000000001</v>
      </c>
      <c r="AD137">
        <v>65518.400000000001</v>
      </c>
      <c r="AE137" s="14">
        <f>Tabla13[[#This Row],[Calculated HEFT_NC]]/Tabla13[[#This Row],[Real HEFT_NC]]</f>
        <v>0.88229449347208266</v>
      </c>
      <c r="AF137" s="14">
        <f>Tabla13[[#This Row],[Calculated HEFT_DNC]]/Tabla13[[#This Row],[Real HEFT_DNC]]</f>
        <v>0.99999694743172174</v>
      </c>
      <c r="AG137" s="14">
        <f>Tabla13[[#This Row],[Calculated GA_NC]]/Tabla13[[#This Row],[Real GA_NC]]</f>
        <v>0.88229449347208266</v>
      </c>
      <c r="AH137" s="15">
        <f>Tabla13[[#This Row],[Calculated GA_DNC]]/Tabla13[[#This Row],[Real GA_DNC]]</f>
        <v>0.99999694743172174</v>
      </c>
      <c r="AI137" s="15">
        <f>Tabla13[[#This Row],[Calculated HGA_(Ph2)]]/Tabla13[[#This Row],[Real HGA_(Ph2)]]</f>
        <v>0.99999694743172174</v>
      </c>
      <c r="AJ137" s="15">
        <f>Tabla13[[#This Row],[Calculated HGA_(Ph1)]]/Tabla13[[#This Row],[Real HGA_(Ph1)]]</f>
        <v>0.99999694743172174</v>
      </c>
      <c r="AK137" s="15">
        <f>Tabla13[[#This Row],[Calculated HGA^H]]/Tabla13[[#This Row],[Real GA^H]]</f>
        <v>0.99999694743172174</v>
      </c>
      <c r="AL137" s="15">
        <f>Tabla13[[#This Row],[Calculated HGA_(Ph2)^H]]/Tabla13[[#This Row],[Real HGA_(Ph2)^H]]</f>
        <v>0.99999694743172174</v>
      </c>
      <c r="AM137" s="15">
        <f>Tabla13[[#This Row],[Calculated HGA_(Ph1)^H]]/Tabla13[[#This Row],[Real HGA_(Ph1)^H]]</f>
        <v>0.99999694743172174</v>
      </c>
      <c r="AU137"/>
      <c r="AV137"/>
      <c r="AW137"/>
    </row>
    <row r="138" spans="1:49">
      <c r="A138" s="6" t="str">
        <f t="shared" si="36"/>
        <v>srasearch</v>
      </c>
      <c r="B138" t="s">
        <v>29</v>
      </c>
      <c r="C138">
        <f>_xlfn.XLOOKUP(B138,Instances!$B$2:$B$29,Instances!$A$2:$A$29,,0,1)</f>
        <v>104</v>
      </c>
      <c r="D138">
        <v>2</v>
      </c>
      <c r="E138">
        <v>32208</v>
      </c>
      <c r="F138">
        <v>31321.7</v>
      </c>
      <c r="G138">
        <v>32016.21</v>
      </c>
      <c r="H138">
        <v>30731</v>
      </c>
      <c r="I138">
        <v>30446.2</v>
      </c>
      <c r="J138">
        <v>31098.98</v>
      </c>
      <c r="K138">
        <v>30804.1</v>
      </c>
      <c r="L138">
        <v>30447.54</v>
      </c>
      <c r="M138">
        <v>31120.69999999999</v>
      </c>
      <c r="N138" s="13">
        <f t="shared" si="37"/>
        <v>2.7518007948335796E-2</v>
      </c>
      <c r="O138" s="13">
        <f t="shared" si="38"/>
        <v>5.9547317436661968E-3</v>
      </c>
      <c r="P138" s="13">
        <f t="shared" si="39"/>
        <v>4.5858171882762047E-2</v>
      </c>
      <c r="Q138" s="13">
        <f t="shared" si="40"/>
        <v>5.4700695479383984E-2</v>
      </c>
      <c r="R138" s="13">
        <f t="shared" si="41"/>
        <v>3.4433060109289634E-2</v>
      </c>
      <c r="S138" s="13">
        <f t="shared" si="42"/>
        <v>4.3588549428713409E-2</v>
      </c>
      <c r="T138" s="13">
        <f t="shared" si="43"/>
        <v>5.4659090909090879E-2</v>
      </c>
      <c r="U138" s="7">
        <f t="shared" si="44"/>
        <v>3.3758693492300366E-2</v>
      </c>
      <c r="V138">
        <v>28903.7</v>
      </c>
      <c r="W138">
        <v>30952.099999999991</v>
      </c>
      <c r="X138">
        <v>28903.439999999999</v>
      </c>
      <c r="Y138">
        <v>30590.55</v>
      </c>
      <c r="Z138">
        <v>30410.06</v>
      </c>
      <c r="AA138">
        <v>30794.06</v>
      </c>
      <c r="AB138">
        <v>30621.759999999998</v>
      </c>
      <c r="AC138">
        <v>30426.69</v>
      </c>
      <c r="AD138">
        <v>30789.43</v>
      </c>
      <c r="AE138" s="14">
        <f>Tabla13[[#This Row],[Calculated HEFT_NC]]/Tabla13[[#This Row],[Real HEFT_NC]]</f>
        <v>0.89740747640337803</v>
      </c>
      <c r="AF138" s="14">
        <f>Tabla13[[#This Row],[Calculated HEFT_DNC]]/Tabla13[[#This Row],[Real HEFT_DNC]]</f>
        <v>0.98819987420861544</v>
      </c>
      <c r="AG138" s="14">
        <f>Tabla13[[#This Row],[Calculated GA_NC]]/Tabla13[[#This Row],[Real GA_NC]]</f>
        <v>0.90277518794385714</v>
      </c>
      <c r="AH138" s="15">
        <f>Tabla13[[#This Row],[Calculated GA_DNC]]/Tabla13[[#This Row],[Real GA_DNC]]</f>
        <v>0.99542969639777423</v>
      </c>
      <c r="AI138" s="15">
        <f>Tabla13[[#This Row],[Calculated HGA_(Ph2)]]/Tabla13[[#This Row],[Real HGA_(Ph2)]]</f>
        <v>0.99881298815615749</v>
      </c>
      <c r="AJ138" s="15">
        <f>Tabla13[[#This Row],[Calculated HGA_(Ph1)]]/Tabla13[[#This Row],[Real HGA_(Ph1)]]</f>
        <v>0.99019517681930413</v>
      </c>
      <c r="AK138" s="15">
        <f>Tabla13[[#This Row],[Calculated HGA^H]]/Tabla13[[#This Row],[Real GA^H]]</f>
        <v>0.99408065809421475</v>
      </c>
      <c r="AL138" s="15">
        <f>Tabla13[[#This Row],[Calculated HGA_(Ph2)^H]]/Tabla13[[#This Row],[Real HGA_(Ph2)^H]]</f>
        <v>0.99931521561347803</v>
      </c>
      <c r="AM138" s="15">
        <f>Tabla13[[#This Row],[Calculated HGA_(Ph1)^H]]/Tabla13[[#This Row],[Real HGA_(Ph1)^H]]</f>
        <v>0.98935531655778985</v>
      </c>
      <c r="AU138"/>
      <c r="AV138"/>
      <c r="AW138"/>
    </row>
    <row r="139" spans="1:49">
      <c r="A139" s="6" t="str">
        <f t="shared" si="36"/>
        <v>srasearch</v>
      </c>
      <c r="B139" t="s">
        <v>29</v>
      </c>
      <c r="C139">
        <f>_xlfn.XLOOKUP(B139,Instances!$B$2:$B$29,Instances!$A$2:$A$29,,0,1)</f>
        <v>104</v>
      </c>
      <c r="D139">
        <v>4</v>
      </c>
      <c r="E139">
        <v>16534.599999999999</v>
      </c>
      <c r="F139">
        <v>15825.2</v>
      </c>
      <c r="G139">
        <v>16452.740000000002</v>
      </c>
      <c r="H139">
        <v>15668.52</v>
      </c>
      <c r="I139">
        <v>15389.8</v>
      </c>
      <c r="J139">
        <v>15797.78</v>
      </c>
      <c r="K139">
        <v>15715.15</v>
      </c>
      <c r="L139">
        <v>15435.87</v>
      </c>
      <c r="M139">
        <v>15796.58</v>
      </c>
      <c r="N139" s="13">
        <f t="shared" si="37"/>
        <v>4.290397106673266E-2</v>
      </c>
      <c r="O139" s="13">
        <f t="shared" si="38"/>
        <v>4.9508303799303856E-3</v>
      </c>
      <c r="P139" s="13">
        <f t="shared" si="39"/>
        <v>5.2379857994750291E-2</v>
      </c>
      <c r="Q139" s="13">
        <f t="shared" si="40"/>
        <v>6.9236631064555507E-2</v>
      </c>
      <c r="R139" s="13">
        <f t="shared" si="41"/>
        <v>4.4562311758373226E-2</v>
      </c>
      <c r="S139" s="13">
        <f t="shared" si="42"/>
        <v>4.9559711151161742E-2</v>
      </c>
      <c r="T139" s="13">
        <f t="shared" si="43"/>
        <v>6.6450352593954362E-2</v>
      </c>
      <c r="U139" s="7">
        <f t="shared" si="44"/>
        <v>4.46348868433466E-2</v>
      </c>
      <c r="V139">
        <v>14456.4</v>
      </c>
      <c r="W139">
        <v>15477.2</v>
      </c>
      <c r="X139">
        <v>14455.82</v>
      </c>
      <c r="Y139">
        <v>15409.8</v>
      </c>
      <c r="Z139">
        <v>15234.22</v>
      </c>
      <c r="AA139">
        <v>15495.72</v>
      </c>
      <c r="AB139">
        <v>15425.76</v>
      </c>
      <c r="AC139">
        <v>15250.02</v>
      </c>
      <c r="AD139">
        <v>15474.88</v>
      </c>
      <c r="AE139" s="14">
        <f>Tabla13[[#This Row],[Calculated HEFT_NC]]/Tabla13[[#This Row],[Real HEFT_NC]]</f>
        <v>0.87431204867369039</v>
      </c>
      <c r="AF139" s="14">
        <f>Tabla13[[#This Row],[Calculated HEFT_DNC]]/Tabla13[[#This Row],[Real HEFT_DNC]]</f>
        <v>0.97800975659075395</v>
      </c>
      <c r="AG139" s="14">
        <f>Tabla13[[#This Row],[Calculated GA_NC]]/Tabla13[[#This Row],[Real GA_NC]]</f>
        <v>0.87862690348233774</v>
      </c>
      <c r="AH139" s="15">
        <f>Tabla13[[#This Row],[Calculated GA_DNC]]/Tabla13[[#This Row],[Real GA_DNC]]</f>
        <v>0.98348791079182962</v>
      </c>
      <c r="AI139" s="15">
        <f>Tabla13[[#This Row],[Calculated HGA_(Ph2)]]/Tabla13[[#This Row],[Real HGA_(Ph2)]]</f>
        <v>0.9898907068317977</v>
      </c>
      <c r="AJ139" s="15">
        <f>Tabla13[[#This Row],[Calculated HGA_(Ph1)]]/Tabla13[[#This Row],[Real HGA_(Ph1)]]</f>
        <v>0.98087959194266527</v>
      </c>
      <c r="AK139" s="15">
        <f>Tabla13[[#This Row],[Calculated HGA^H]]/Tabla13[[#This Row],[Real GA^H]]</f>
        <v>0.98158528553656821</v>
      </c>
      <c r="AL139" s="15">
        <f>Tabla13[[#This Row],[Calculated HGA_(Ph2)^H]]/Tabla13[[#This Row],[Real HGA_(Ph2)^H]]</f>
        <v>0.98795986232068544</v>
      </c>
      <c r="AM139" s="15">
        <f>Tabla13[[#This Row],[Calculated HGA_(Ph1)^H]]/Tabla13[[#This Row],[Real HGA_(Ph1)^H]]</f>
        <v>0.9796348323497871</v>
      </c>
      <c r="AU139"/>
      <c r="AV139"/>
      <c r="AW139"/>
    </row>
    <row r="140" spans="1:49">
      <c r="A140" s="6" t="str">
        <f t="shared" si="36"/>
        <v>srasearch</v>
      </c>
      <c r="B140" t="s">
        <v>29</v>
      </c>
      <c r="C140">
        <f>_xlfn.XLOOKUP(B140,Instances!$B$2:$B$29,Instances!$A$2:$A$29,,0,1)</f>
        <v>104</v>
      </c>
      <c r="D140">
        <v>8</v>
      </c>
      <c r="E140">
        <v>8295.5400000000027</v>
      </c>
      <c r="F140">
        <v>8021.6799999999976</v>
      </c>
      <c r="G140">
        <v>8372.1790000000001</v>
      </c>
      <c r="H140">
        <v>7935.4730000000009</v>
      </c>
      <c r="I140">
        <v>7793.7169999999996</v>
      </c>
      <c r="J140">
        <v>8176.0520000000006</v>
      </c>
      <c r="K140">
        <v>8018.0209999999988</v>
      </c>
      <c r="L140">
        <v>7804.3070000000007</v>
      </c>
      <c r="M140">
        <v>8021.6799999999976</v>
      </c>
      <c r="N140" s="13">
        <f t="shared" si="37"/>
        <v>3.3012920195672014E-2</v>
      </c>
      <c r="O140" s="13">
        <f t="shared" si="38"/>
        <v>-9.2385788025851692E-3</v>
      </c>
      <c r="P140" s="13">
        <f t="shared" si="39"/>
        <v>4.3404889856477301E-2</v>
      </c>
      <c r="Q140" s="13">
        <f t="shared" si="40"/>
        <v>6.0493108344966441E-2</v>
      </c>
      <c r="R140" s="13">
        <f t="shared" si="41"/>
        <v>1.4403884496970909E-2</v>
      </c>
      <c r="S140" s="13">
        <f t="shared" si="42"/>
        <v>3.3454000583446497E-2</v>
      </c>
      <c r="T140" s="13">
        <f t="shared" si="43"/>
        <v>5.9216518755861806E-2</v>
      </c>
      <c r="U140" s="7">
        <f t="shared" si="44"/>
        <v>3.3012920195672014E-2</v>
      </c>
      <c r="V140">
        <v>7229.01</v>
      </c>
      <c r="W140">
        <v>7743.9900000000007</v>
      </c>
      <c r="X140">
        <v>7290.4819999999991</v>
      </c>
      <c r="Y140">
        <v>7778.7019999999993</v>
      </c>
      <c r="Z140">
        <v>7640.8220000000001</v>
      </c>
      <c r="AA140">
        <v>7980.7860000000001</v>
      </c>
      <c r="AB140">
        <v>7729.0070000000014</v>
      </c>
      <c r="AC140">
        <v>7632.6610000000001</v>
      </c>
      <c r="AD140">
        <v>7743.9900000000007</v>
      </c>
      <c r="AE140" s="14">
        <f>Tabla13[[#This Row],[Calculated HEFT_NC]]/Tabla13[[#This Row],[Real HEFT_NC]]</f>
        <v>0.87143332441287702</v>
      </c>
      <c r="AF140" s="14">
        <f>Tabla13[[#This Row],[Calculated HEFT_DNC]]/Tabla13[[#This Row],[Real HEFT_DNC]]</f>
        <v>0.96538256325358318</v>
      </c>
      <c r="AG140" s="14">
        <f>Tabla13[[#This Row],[Calculated GA_NC]]/Tabla13[[#This Row],[Real GA_NC]]</f>
        <v>0.87079862960407306</v>
      </c>
      <c r="AH140" s="15">
        <f>Tabla13[[#This Row],[Calculated GA_DNC]]/Tabla13[[#This Row],[Real GA_DNC]]</f>
        <v>0.98024427781431533</v>
      </c>
      <c r="AI140" s="15">
        <f>Tabla13[[#This Row],[Calculated HGA_(Ph2)]]/Tabla13[[#This Row],[Real HGA_(Ph2)]]</f>
        <v>0.98038227459375293</v>
      </c>
      <c r="AJ140" s="15">
        <f>Tabla13[[#This Row],[Calculated HGA_(Ph1)]]/Tabla13[[#This Row],[Real HGA_(Ph1)]]</f>
        <v>0.97611732410703844</v>
      </c>
      <c r="AK140" s="15">
        <f>Tabla13[[#This Row],[Calculated HGA^H]]/Tabla13[[#This Row],[Real GA^H]]</f>
        <v>0.96395444711357114</v>
      </c>
      <c r="AL140" s="15">
        <f>Tabla13[[#This Row],[Calculated HGA_(Ph2)^H]]/Tabla13[[#This Row],[Real HGA_(Ph2)^H]]</f>
        <v>0.97800624706332018</v>
      </c>
      <c r="AM140" s="15">
        <f>Tabla13[[#This Row],[Calculated HGA_(Ph1)^H]]/Tabla13[[#This Row],[Real HGA_(Ph1)^H]]</f>
        <v>0.96538256325358318</v>
      </c>
      <c r="AU140"/>
      <c r="AV140"/>
      <c r="AW140"/>
    </row>
    <row r="141" spans="1:49">
      <c r="A141" s="6" t="str">
        <f t="shared" si="36"/>
        <v>srasearch</v>
      </c>
      <c r="B141" t="s">
        <v>29</v>
      </c>
      <c r="C141">
        <f>_xlfn.XLOOKUP(B141,Instances!$B$2:$B$29,Instances!$A$2:$A$29,,0,1)</f>
        <v>104</v>
      </c>
      <c r="D141">
        <v>16</v>
      </c>
      <c r="E141">
        <v>4172.83</v>
      </c>
      <c r="F141">
        <v>4093.3200000000011</v>
      </c>
      <c r="G141">
        <v>4429.0300000000007</v>
      </c>
      <c r="H141">
        <v>4291.9120000000003</v>
      </c>
      <c r="I141">
        <v>3954.9250000000002</v>
      </c>
      <c r="J141">
        <v>4281.3009999999986</v>
      </c>
      <c r="K141">
        <v>4062.4050000000002</v>
      </c>
      <c r="L141">
        <v>3938.2710000000002</v>
      </c>
      <c r="M141">
        <v>4093.3200000000011</v>
      </c>
      <c r="N141" s="13">
        <f t="shared" si="37"/>
        <v>1.9054215005164087E-2</v>
      </c>
      <c r="O141" s="13">
        <f t="shared" si="38"/>
        <v>-6.1397181289436838E-2</v>
      </c>
      <c r="P141" s="13">
        <f t="shared" si="39"/>
        <v>-2.8537467378254168E-2</v>
      </c>
      <c r="Q141" s="13">
        <f t="shared" si="40"/>
        <v>5.2219956240728657E-2</v>
      </c>
      <c r="R141" s="13">
        <f t="shared" si="41"/>
        <v>-2.5994588804240441E-2</v>
      </c>
      <c r="S141" s="13">
        <f t="shared" si="42"/>
        <v>2.6462856143192923E-2</v>
      </c>
      <c r="T141" s="13">
        <f t="shared" si="43"/>
        <v>5.6211012670058388E-2</v>
      </c>
      <c r="U141" s="7">
        <f t="shared" si="44"/>
        <v>1.9054215005164087E-2</v>
      </c>
      <c r="V141">
        <v>3732.21</v>
      </c>
      <c r="W141">
        <v>3903.7600000000011</v>
      </c>
      <c r="X141">
        <v>3958.5830000000001</v>
      </c>
      <c r="Y141">
        <v>4254.5360000000001</v>
      </c>
      <c r="Z141">
        <v>3889.1729999999998</v>
      </c>
      <c r="AA141">
        <v>4220.9750000000004</v>
      </c>
      <c r="AB141">
        <v>3897.117999999999</v>
      </c>
      <c r="AC141">
        <v>3828.1320000000001</v>
      </c>
      <c r="AD141">
        <v>3903.7600000000011</v>
      </c>
      <c r="AE141" s="14">
        <f>Tabla13[[#This Row],[Calculated HEFT_NC]]/Tabla13[[#This Row],[Real HEFT_NC]]</f>
        <v>0.89440739258488844</v>
      </c>
      <c r="AF141" s="14">
        <f>Tabla13[[#This Row],[Calculated HEFT_DNC]]/Tabla13[[#This Row],[Real HEFT_DNC]]</f>
        <v>0.95369040290033524</v>
      </c>
      <c r="AG141" s="14">
        <f>Tabla13[[#This Row],[Calculated GA_NC]]/Tabla13[[#This Row],[Real GA_NC]]</f>
        <v>0.89378103106097717</v>
      </c>
      <c r="AH141" s="15">
        <f>Tabla13[[#This Row],[Calculated GA_DNC]]/Tabla13[[#This Row],[Real GA_DNC]]</f>
        <v>0.99129152694649836</v>
      </c>
      <c r="AI141" s="15">
        <f>Tabla13[[#This Row],[Calculated HGA_(Ph2)]]/Tabla13[[#This Row],[Real HGA_(Ph2)]]</f>
        <v>0.9833746531223726</v>
      </c>
      <c r="AJ141" s="15">
        <f>Tabla13[[#This Row],[Calculated HGA_(Ph1)]]/Tabla13[[#This Row],[Real HGA_(Ph1)]]</f>
        <v>0.98590942332716192</v>
      </c>
      <c r="AK141" s="15">
        <f>Tabla13[[#This Row],[Calculated HGA^H]]/Tabla13[[#This Row],[Real GA^H]]</f>
        <v>0.9593130177813386</v>
      </c>
      <c r="AL141" s="15">
        <f>Tabla13[[#This Row],[Calculated HGA_(Ph2)^H]]/Tabla13[[#This Row],[Real HGA_(Ph2)^H]]</f>
        <v>0.97203366655062584</v>
      </c>
      <c r="AM141" s="15">
        <f>Tabla13[[#This Row],[Calculated HGA_(Ph1)^H]]/Tabla13[[#This Row],[Real HGA_(Ph1)^H]]</f>
        <v>0.95369040290033524</v>
      </c>
      <c r="AU141"/>
      <c r="AV141"/>
      <c r="AW141"/>
    </row>
    <row r="142" spans="1:49">
      <c r="T142" s="16" t="e">
        <f>COUNTIF(#REF!, "&lt;0")</f>
        <v>#REF!</v>
      </c>
      <c r="U142" s="16" t="e">
        <f>COUNTIF(#REF!, "&lt;0")</f>
        <v>#REF!</v>
      </c>
      <c r="V142" s="16" t="e">
        <f>COUNTIF(#REF!, "&lt;0")</f>
        <v>#REF!</v>
      </c>
      <c r="W142" s="16" t="e">
        <f>COUNTIF(#REF!, "&lt;0")</f>
        <v>#REF!</v>
      </c>
      <c r="X142" s="16" t="e">
        <f>COUNTIF(#REF!, "&gt;0")</f>
        <v>#REF!</v>
      </c>
    </row>
    <row r="143" spans="1:49">
      <c r="T143" s="16" t="e">
        <f>COUNTIF(#REF!, "&gt;0")</f>
        <v>#REF!</v>
      </c>
      <c r="U143" s="16" t="e">
        <f>COUNTIF(#REF!, "&gt;0")</f>
        <v>#REF!</v>
      </c>
      <c r="V143" s="16" t="e">
        <f>COUNTIF(#REF!, "&gt;0")</f>
        <v>#REF!</v>
      </c>
      <c r="W143" s="16" t="e">
        <f>COUNTIF(#REF!, "&gt;0")</f>
        <v>#REF!</v>
      </c>
      <c r="X143" s="16" t="e">
        <f>COUNTIF(#REF!, "&lt;0")</f>
        <v>#REF!</v>
      </c>
    </row>
    <row r="145" spans="12:20">
      <c r="L145" s="17"/>
    </row>
    <row r="146" spans="12:20">
      <c r="L146" s="17"/>
    </row>
    <row r="156" spans="12:20">
      <c r="T156" s="16"/>
    </row>
    <row r="157" spans="12:20">
      <c r="T157" s="16"/>
    </row>
    <row r="158" spans="12:20">
      <c r="T158" s="16"/>
    </row>
    <row r="159" spans="12:20">
      <c r="T159" s="16"/>
    </row>
    <row r="160" spans="12:20">
      <c r="T160" s="16"/>
    </row>
    <row r="161" spans="20:20">
      <c r="T161" s="16"/>
    </row>
    <row r="162" spans="20:20">
      <c r="T162" s="16"/>
    </row>
    <row r="163" spans="20:20">
      <c r="T163" s="16"/>
    </row>
    <row r="164" spans="20:20">
      <c r="T164" s="16"/>
    </row>
    <row r="165" spans="20:20">
      <c r="T165" s="16"/>
    </row>
    <row r="166" spans="20:20">
      <c r="T166" s="16"/>
    </row>
  </sheetData>
  <phoneticPr fontId="3" type="noConversion"/>
  <conditionalFormatting sqref="T142:V1048576 W142:W143">
    <cfRule type="cellIs" dxfId="24" priority="3" operator="lessThan">
      <formula>0</formula>
    </cfRule>
  </conditionalFormatting>
  <conditionalFormatting sqref="X142">
    <cfRule type="cellIs" dxfId="23" priority="2" operator="lessThan">
      <formula>0</formula>
    </cfRule>
  </conditionalFormatting>
  <conditionalFormatting sqref="X143">
    <cfRule type="cellIs" dxfId="22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89F0-85FA-436D-AEFD-0B8197067D8B}">
  <dimension ref="A1:U182"/>
  <sheetViews>
    <sheetView tabSelected="1" workbookViewId="0">
      <selection activeCell="D3" sqref="D3"/>
    </sheetView>
  </sheetViews>
  <sheetFormatPr defaultColWidth="11.42578125" defaultRowHeight="15"/>
  <cols>
    <col min="1" max="1" width="17.5703125" bestFit="1" customWidth="1"/>
    <col min="2" max="2" width="8.85546875" bestFit="1" customWidth="1"/>
    <col min="3" max="3" width="10.5703125" bestFit="1" customWidth="1"/>
    <col min="4" max="4" width="7.5703125" bestFit="1" customWidth="1"/>
    <col min="5" max="5" width="8.7109375" bestFit="1" customWidth="1"/>
    <col min="6" max="7" width="11" bestFit="1" customWidth="1"/>
    <col min="8" max="8" width="8.7109375" bestFit="1" customWidth="1"/>
    <col min="9" max="10" width="13.42578125" bestFit="1" customWidth="1"/>
    <col min="12" max="12" width="12.28515625" bestFit="1" customWidth="1"/>
    <col min="13" max="13" width="9.140625" customWidth="1"/>
    <col min="14" max="14" width="10.140625" bestFit="1" customWidth="1"/>
    <col min="15" max="15" width="7.28515625" bestFit="1" customWidth="1"/>
    <col min="16" max="16" width="8.5703125" bestFit="1" customWidth="1"/>
    <col min="17" max="18" width="10.7109375" bestFit="1" customWidth="1"/>
    <col min="19" max="19" width="8.140625" bestFit="1" customWidth="1"/>
    <col min="20" max="21" width="13" bestFit="1" customWidth="1"/>
  </cols>
  <sheetData>
    <row r="1" spans="1:21">
      <c r="B1" s="24"/>
    </row>
    <row r="2" spans="1:21">
      <c r="M2" s="12" t="s">
        <v>68</v>
      </c>
    </row>
    <row r="3" spans="1:21" s="8" customFormat="1" ht="76.5">
      <c r="A3" s="10" t="s">
        <v>69</v>
      </c>
      <c r="B3" s="8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L3" s="27" t="s">
        <v>30</v>
      </c>
      <c r="M3" s="25" t="s">
        <v>79</v>
      </c>
      <c r="N3" s="11" t="s">
        <v>71</v>
      </c>
      <c r="O3" s="11" t="s">
        <v>72</v>
      </c>
      <c r="P3" s="11" t="s">
        <v>73</v>
      </c>
      <c r="Q3" s="11" t="s">
        <v>74</v>
      </c>
      <c r="R3" s="11" t="s">
        <v>75</v>
      </c>
      <c r="S3" s="11" t="s">
        <v>76</v>
      </c>
      <c r="T3" s="11" t="s">
        <v>77</v>
      </c>
      <c r="U3" s="11" t="s">
        <v>78</v>
      </c>
    </row>
    <row r="4" spans="1:21">
      <c r="A4" s="4" t="s">
        <v>80</v>
      </c>
      <c r="B4" s="7"/>
      <c r="C4" s="7"/>
      <c r="D4" s="7"/>
      <c r="E4" s="7"/>
      <c r="F4" s="7"/>
      <c r="G4" s="7"/>
      <c r="H4" s="7"/>
      <c r="I4" s="7"/>
      <c r="J4" s="7"/>
      <c r="L4" s="26" t="str">
        <f>A4</f>
        <v>seismology</v>
      </c>
      <c r="M4" s="2">
        <f>MIN(B5:B9)</f>
        <v>0.99161064110142827</v>
      </c>
      <c r="N4" s="2">
        <f>MIN(C5:C9)</f>
        <v>0.99863779436706235</v>
      </c>
      <c r="O4" s="2">
        <f t="shared" ref="O4:U4" si="0">MIN(D5:D9)</f>
        <v>0.99232010467319043</v>
      </c>
      <c r="P4" s="2">
        <f t="shared" si="0"/>
        <v>0.99865743392168416</v>
      </c>
      <c r="Q4" s="2">
        <f t="shared" si="0"/>
        <v>0.99869223382931238</v>
      </c>
      <c r="R4" s="2">
        <f t="shared" si="0"/>
        <v>0.998689325934629</v>
      </c>
      <c r="S4" s="2">
        <f t="shared" si="0"/>
        <v>0.99863903257141851</v>
      </c>
      <c r="T4" s="2">
        <f t="shared" si="0"/>
        <v>0.99868005131824034</v>
      </c>
      <c r="U4" s="2">
        <f t="shared" si="0"/>
        <v>0.99863779436706235</v>
      </c>
    </row>
    <row r="5" spans="1:21">
      <c r="A5" s="5">
        <v>1</v>
      </c>
      <c r="B5" s="23">
        <v>0.99805786345265179</v>
      </c>
      <c r="C5" s="23">
        <v>0.99999445669424281</v>
      </c>
      <c r="D5" s="23">
        <v>0.99805786345265179</v>
      </c>
      <c r="E5" s="23">
        <v>0.99999445669424281</v>
      </c>
      <c r="F5" s="23">
        <v>0.99999445669424281</v>
      </c>
      <c r="G5" s="23">
        <v>0.99999445669424281</v>
      </c>
      <c r="H5" s="23">
        <v>0.99999445669424281</v>
      </c>
      <c r="I5" s="23">
        <v>0.99999445669424281</v>
      </c>
      <c r="J5" s="23">
        <v>0.99999445669424281</v>
      </c>
      <c r="M5" s="28">
        <v>0.99161064110142827</v>
      </c>
    </row>
    <row r="6" spans="1:21">
      <c r="A6" s="5">
        <v>2</v>
      </c>
      <c r="B6" s="23">
        <v>0.9978262793726087</v>
      </c>
      <c r="C6" s="23">
        <v>0.99988756131466849</v>
      </c>
      <c r="D6" s="23">
        <v>0.99790099510264352</v>
      </c>
      <c r="E6" s="23">
        <v>0.99989730109524833</v>
      </c>
      <c r="F6" s="23">
        <v>0.99991149195522355</v>
      </c>
      <c r="G6" s="23">
        <v>0.99989009489777469</v>
      </c>
      <c r="H6" s="23">
        <v>0.99989557253680361</v>
      </c>
      <c r="I6" s="23">
        <v>0.99991243675391595</v>
      </c>
      <c r="J6" s="23">
        <v>0.99989139602761579</v>
      </c>
      <c r="M6" s="2"/>
      <c r="N6" s="7"/>
    </row>
    <row r="7" spans="1:21">
      <c r="A7" s="5">
        <v>4</v>
      </c>
      <c r="B7" s="23">
        <v>0.99723636739736632</v>
      </c>
      <c r="C7" s="23">
        <v>0.99970768400951449</v>
      </c>
      <c r="D7" s="23">
        <v>0.99709292106183334</v>
      </c>
      <c r="E7" s="23">
        <v>0.99970893005353845</v>
      </c>
      <c r="F7" s="23">
        <v>0.99973029150842763</v>
      </c>
      <c r="G7" s="23">
        <v>0.99971208542585843</v>
      </c>
      <c r="H7" s="23">
        <v>0.99970895203681931</v>
      </c>
      <c r="I7" s="23">
        <v>0.99973218119539264</v>
      </c>
      <c r="J7" s="23">
        <v>0.99970786589380722</v>
      </c>
      <c r="M7" s="2"/>
    </row>
    <row r="8" spans="1:21">
      <c r="A8" s="5">
        <v>8</v>
      </c>
      <c r="B8" s="23">
        <v>0.9951230514369388</v>
      </c>
      <c r="C8" s="23">
        <v>0.99934826369663354</v>
      </c>
      <c r="D8" s="23">
        <v>0.99553055109045774</v>
      </c>
      <c r="E8" s="23">
        <v>0.99935011911668847</v>
      </c>
      <c r="F8" s="23">
        <v>0.99937910094480642</v>
      </c>
      <c r="G8" s="23">
        <v>0.99935901882628952</v>
      </c>
      <c r="H8" s="23">
        <v>0.99934819678425346</v>
      </c>
      <c r="I8" s="23">
        <v>0.99937814393898616</v>
      </c>
      <c r="J8" s="23">
        <v>0.99934700944431543</v>
      </c>
      <c r="M8" s="2"/>
    </row>
    <row r="9" spans="1:21">
      <c r="A9" s="5">
        <v>16</v>
      </c>
      <c r="B9" s="23">
        <v>0.99161064110142827</v>
      </c>
      <c r="C9" s="23">
        <v>0.99863779436706235</v>
      </c>
      <c r="D9" s="23">
        <v>0.99232010467319043</v>
      </c>
      <c r="E9" s="23">
        <v>0.99865743392168416</v>
      </c>
      <c r="F9" s="23">
        <v>0.99869223382931238</v>
      </c>
      <c r="G9" s="23">
        <v>0.998689325934629</v>
      </c>
      <c r="H9" s="23">
        <v>0.99863903257141851</v>
      </c>
      <c r="I9" s="23">
        <v>0.99868005131824034</v>
      </c>
      <c r="J9" s="23">
        <v>0.99863779436706235</v>
      </c>
      <c r="M9" s="2"/>
    </row>
    <row r="10" spans="1:21">
      <c r="A10" s="4" t="s">
        <v>81</v>
      </c>
      <c r="B10" s="7"/>
      <c r="C10" s="7"/>
      <c r="D10" s="7"/>
      <c r="E10" s="7"/>
      <c r="F10" s="7"/>
      <c r="G10" s="7"/>
      <c r="H10" s="7"/>
      <c r="I10" s="7"/>
      <c r="J10" s="7"/>
      <c r="L10" s="26" t="str">
        <f>A10</f>
        <v>cycles</v>
      </c>
      <c r="M10" s="2">
        <f>MIN(B11:B15)</f>
        <v>0.97712654789843656</v>
      </c>
      <c r="N10" s="2">
        <f>MIN(C11:C15)</f>
        <v>0.99994315187646643</v>
      </c>
      <c r="O10" s="2">
        <f t="shared" ref="O10" si="1">MIN(D11:D15)</f>
        <v>0.97712654789843656</v>
      </c>
      <c r="P10" s="2">
        <f t="shared" ref="P10" si="2">MIN(E11:E15)</f>
        <v>0.99994338891433909</v>
      </c>
      <c r="Q10" s="2">
        <f t="shared" ref="Q10" si="3">MIN(F11:F15)</f>
        <v>0.99993330271533076</v>
      </c>
      <c r="R10" s="2">
        <f t="shared" ref="R10" si="4">MIN(G11:G15)</f>
        <v>0.99994258873357211</v>
      </c>
      <c r="S10" s="2">
        <f t="shared" ref="S10" si="5">MIN(H11:H15)</f>
        <v>0.99994048005642866</v>
      </c>
      <c r="T10" s="2">
        <f t="shared" ref="T10" si="6">MIN(I11:I15)</f>
        <v>0.99993234127134867</v>
      </c>
      <c r="U10" s="2">
        <f t="shared" ref="U10" si="7">MIN(J11:J15)</f>
        <v>0.99994205265451008</v>
      </c>
    </row>
    <row r="11" spans="1:21">
      <c r="A11" s="5">
        <v>1</v>
      </c>
      <c r="B11" s="7">
        <v>0.97712654789843656</v>
      </c>
      <c r="C11" s="23">
        <v>0.99995300685529553</v>
      </c>
      <c r="D11" s="23">
        <v>0.97712654789843656</v>
      </c>
      <c r="E11" s="23">
        <v>0.99995300685529576</v>
      </c>
      <c r="F11" s="23">
        <v>0.99995300685529576</v>
      </c>
      <c r="G11" s="23">
        <v>0.99995300685529576</v>
      </c>
      <c r="H11" s="23">
        <v>0.99995300685529576</v>
      </c>
      <c r="I11" s="23">
        <v>0.99995300685529576</v>
      </c>
      <c r="J11" s="23">
        <v>0.99995300685529576</v>
      </c>
      <c r="M11" s="28">
        <v>0.97712654789843656</v>
      </c>
    </row>
    <row r="12" spans="1:21">
      <c r="A12" s="5">
        <v>2</v>
      </c>
      <c r="B12" s="7">
        <v>0.97879739015256639</v>
      </c>
      <c r="C12" s="23">
        <v>0.99994315187646643</v>
      </c>
      <c r="D12" s="23">
        <v>0.97743692232217283</v>
      </c>
      <c r="E12" s="23">
        <v>0.99994338891433909</v>
      </c>
      <c r="F12" s="23">
        <v>0.99993330271533076</v>
      </c>
      <c r="G12" s="23">
        <v>0.99994258873357211</v>
      </c>
      <c r="H12" s="23">
        <v>0.99994048005642866</v>
      </c>
      <c r="I12" s="23">
        <v>0.99993234127134867</v>
      </c>
      <c r="J12" s="23">
        <v>0.99994205265451008</v>
      </c>
      <c r="M12" s="2"/>
    </row>
    <row r="13" spans="1:21">
      <c r="A13" s="5">
        <v>4</v>
      </c>
      <c r="B13" s="7">
        <v>0.97996988609532532</v>
      </c>
      <c r="C13" s="23">
        <v>0.99994320027927219</v>
      </c>
      <c r="D13" s="23">
        <v>0.98081722936101046</v>
      </c>
      <c r="E13" s="23">
        <v>0.99995059485003057</v>
      </c>
      <c r="F13" s="23">
        <v>0.99994534591597917</v>
      </c>
      <c r="G13" s="23">
        <v>0.99994284363667396</v>
      </c>
      <c r="H13" s="23">
        <v>0.99994450898069975</v>
      </c>
      <c r="I13" s="23">
        <v>0.99993549877075183</v>
      </c>
      <c r="J13" s="23">
        <v>0.99994318998581955</v>
      </c>
      <c r="M13" s="2"/>
    </row>
    <row r="14" spans="1:21">
      <c r="A14" s="5">
        <v>8</v>
      </c>
      <c r="B14" s="7">
        <v>0.98148245835028092</v>
      </c>
      <c r="C14" s="23">
        <v>0.99994456562173961</v>
      </c>
      <c r="D14" s="23">
        <v>0.98398430045816865</v>
      </c>
      <c r="E14" s="23">
        <v>0.99995239933601121</v>
      </c>
      <c r="F14" s="23">
        <v>0.99994972235526536</v>
      </c>
      <c r="G14" s="23">
        <v>0.99994432542387512</v>
      </c>
      <c r="H14" s="23">
        <v>0.99994552451412677</v>
      </c>
      <c r="I14" s="23">
        <v>0.99993930859951752</v>
      </c>
      <c r="J14" s="23">
        <v>0.99994349535291094</v>
      </c>
      <c r="M14" s="2"/>
    </row>
    <row r="15" spans="1:21">
      <c r="A15" s="5">
        <v>16</v>
      </c>
      <c r="B15" s="7">
        <v>0.98717995725964247</v>
      </c>
      <c r="C15" s="23">
        <v>0.99995412422102103</v>
      </c>
      <c r="D15" s="23">
        <v>0.9879466266503093</v>
      </c>
      <c r="E15" s="23">
        <v>0.99996216070631061</v>
      </c>
      <c r="F15" s="23">
        <v>0.99995663811083768</v>
      </c>
      <c r="G15" s="23">
        <v>0.99994646141014976</v>
      </c>
      <c r="H15" s="23">
        <v>0.999955072135989</v>
      </c>
      <c r="I15" s="23">
        <v>0.99995051301752569</v>
      </c>
      <c r="J15" s="23">
        <v>0.99995412422102103</v>
      </c>
      <c r="M15" s="2"/>
    </row>
    <row r="16" spans="1:21">
      <c r="A16" s="4" t="s">
        <v>82</v>
      </c>
      <c r="B16" s="7"/>
      <c r="C16" s="7"/>
      <c r="D16" s="7"/>
      <c r="E16" s="7"/>
      <c r="F16" s="7"/>
      <c r="G16" s="7"/>
      <c r="H16" s="7"/>
      <c r="I16" s="7"/>
      <c r="J16" s="7"/>
      <c r="L16" s="26" t="str">
        <f>A16</f>
        <v>epigenomics</v>
      </c>
      <c r="M16" s="2">
        <f>MIN(B17:B21)</f>
        <v>0.81504347635172203</v>
      </c>
      <c r="N16" s="2">
        <f>MIN(C17:C21)</f>
        <v>0.9911325026905593</v>
      </c>
      <c r="O16" s="2">
        <f t="shared" ref="O16" si="8">MIN(D17:D21)</f>
        <v>0.85485752847698859</v>
      </c>
      <c r="P16" s="2">
        <f t="shared" ref="P16" si="9">MIN(E17:E21)</f>
        <v>0.99127287590347202</v>
      </c>
      <c r="Q16" s="2">
        <f t="shared" ref="Q16" si="10">MIN(F17:F21)</f>
        <v>0.99178703624048281</v>
      </c>
      <c r="R16" s="2">
        <f t="shared" ref="R16" si="11">MIN(G17:G21)</f>
        <v>0.99278876078229616</v>
      </c>
      <c r="S16" s="2">
        <f t="shared" ref="S16" si="12">MIN(H17:H21)</f>
        <v>0.99107436361687251</v>
      </c>
      <c r="T16" s="2">
        <f t="shared" ref="T16" si="13">MIN(I17:I21)</f>
        <v>0.9915892375890849</v>
      </c>
      <c r="U16" s="2">
        <f t="shared" ref="U16" si="14">MIN(J17:J21)</f>
        <v>0.9911325026905593</v>
      </c>
    </row>
    <row r="17" spans="1:21">
      <c r="A17" s="5">
        <v>1</v>
      </c>
      <c r="B17" s="23">
        <v>0.90658641100996262</v>
      </c>
      <c r="C17" s="23">
        <v>0.99992171779495154</v>
      </c>
      <c r="D17" s="23">
        <v>0.90658552103886902</v>
      </c>
      <c r="E17" s="23">
        <v>0.99992171779495154</v>
      </c>
      <c r="F17" s="23">
        <v>0.99992171779495154</v>
      </c>
      <c r="G17" s="23">
        <v>0.99992171779495154</v>
      </c>
      <c r="H17" s="23">
        <v>0.99992171779495154</v>
      </c>
      <c r="I17" s="23">
        <v>0.99992171779495154</v>
      </c>
      <c r="J17" s="23">
        <v>0.99992171779495154</v>
      </c>
      <c r="M17" s="28">
        <v>0.81504347635172203</v>
      </c>
    </row>
    <row r="18" spans="1:21">
      <c r="A18" s="5">
        <v>2</v>
      </c>
      <c r="B18" s="23">
        <v>0.90324930022554506</v>
      </c>
      <c r="C18" s="23">
        <v>0.99841154558535128</v>
      </c>
      <c r="D18" s="23">
        <v>0.91460464092846072</v>
      </c>
      <c r="E18" s="23">
        <v>0.99785137912232613</v>
      </c>
      <c r="F18" s="23">
        <v>0.99839025368388767</v>
      </c>
      <c r="G18" s="23">
        <v>0.99813376141307009</v>
      </c>
      <c r="H18" s="23">
        <v>0.99789122109533823</v>
      </c>
      <c r="I18" s="23">
        <v>0.99832155666879396</v>
      </c>
      <c r="J18" s="23">
        <v>0.99842219216363193</v>
      </c>
      <c r="M18" s="2"/>
    </row>
    <row r="19" spans="1:21">
      <c r="A19" s="5">
        <v>4</v>
      </c>
      <c r="B19" s="23">
        <v>0.88728285404312135</v>
      </c>
      <c r="C19" s="23">
        <v>0.99714899194361128</v>
      </c>
      <c r="D19" s="23">
        <v>0.90803676640136977</v>
      </c>
      <c r="E19" s="23">
        <v>0.9966872433193783</v>
      </c>
      <c r="F19" s="23">
        <v>0.9972600176141222</v>
      </c>
      <c r="G19" s="23">
        <v>0.99683440051935546</v>
      </c>
      <c r="H19" s="23">
        <v>0.99669420863791913</v>
      </c>
      <c r="I19" s="23">
        <v>0.99724420573180039</v>
      </c>
      <c r="J19" s="23">
        <v>0.99705941680970178</v>
      </c>
      <c r="M19" s="2"/>
    </row>
    <row r="20" spans="1:21">
      <c r="A20" s="5">
        <v>8</v>
      </c>
      <c r="B20" s="23">
        <v>0.85998609248729152</v>
      </c>
      <c r="C20" s="23">
        <v>0.99413671084199229</v>
      </c>
      <c r="D20" s="23">
        <v>0.88340107530207745</v>
      </c>
      <c r="E20" s="23">
        <v>0.99568465705368991</v>
      </c>
      <c r="F20" s="23">
        <v>0.99563579536511726</v>
      </c>
      <c r="G20" s="23">
        <v>0.99506583998215714</v>
      </c>
      <c r="H20" s="23">
        <v>0.9950672288802086</v>
      </c>
      <c r="I20" s="23">
        <v>0.99512516318642563</v>
      </c>
      <c r="J20" s="23">
        <v>0.99413671084199229</v>
      </c>
      <c r="M20" s="2"/>
    </row>
    <row r="21" spans="1:21">
      <c r="A21" s="5">
        <v>16</v>
      </c>
      <c r="B21" s="23">
        <v>0.81504347635172203</v>
      </c>
      <c r="C21" s="23">
        <v>0.9911325026905593</v>
      </c>
      <c r="D21" s="23">
        <v>0.85485752847698859</v>
      </c>
      <c r="E21" s="23">
        <v>0.99127287590347202</v>
      </c>
      <c r="F21" s="23">
        <v>0.99178703624048281</v>
      </c>
      <c r="G21" s="23">
        <v>0.99278876078229616</v>
      </c>
      <c r="H21" s="23">
        <v>0.99107436361687251</v>
      </c>
      <c r="I21" s="23">
        <v>0.9915892375890849</v>
      </c>
      <c r="J21" s="23">
        <v>0.9911325026905593</v>
      </c>
      <c r="M21" s="2"/>
    </row>
    <row r="22" spans="1:21">
      <c r="A22" s="4" t="s">
        <v>83</v>
      </c>
      <c r="B22" s="7"/>
      <c r="C22" s="7"/>
      <c r="D22" s="7"/>
      <c r="E22" s="7"/>
      <c r="F22" s="7"/>
      <c r="G22" s="7"/>
      <c r="H22" s="7"/>
      <c r="I22" s="7"/>
      <c r="J22" s="7"/>
      <c r="L22" s="26" t="str">
        <f>A22</f>
        <v>srasearch</v>
      </c>
      <c r="M22" s="2">
        <f>MIN(B23:B27)</f>
        <v>0.84341115331802052</v>
      </c>
      <c r="N22" s="2">
        <f>MIN(C23:C27)</f>
        <v>0.97293602125594503</v>
      </c>
      <c r="O22" s="2">
        <f t="shared" ref="O22" si="15">MIN(D23:D27)</f>
        <v>0.85916901920382727</v>
      </c>
      <c r="P22" s="2">
        <f t="shared" ref="P22" si="16">MIN(E23:E27)</f>
        <v>0.98194971829630395</v>
      </c>
      <c r="Q22" s="2">
        <f t="shared" ref="Q22" si="17">MIN(F23:F27)</f>
        <v>0.98473191119068759</v>
      </c>
      <c r="R22" s="2">
        <f t="shared" ref="R22" si="18">MIN(G23:G27)</f>
        <v>0.98416092805465472</v>
      </c>
      <c r="S22" s="2">
        <f t="shared" ref="S22" si="19">MIN(H23:H27)</f>
        <v>0.97652634800916849</v>
      </c>
      <c r="T22" s="2">
        <f t="shared" ref="T22" si="20">MIN(I23:I27)</f>
        <v>0.98439331766464799</v>
      </c>
      <c r="U22" s="2">
        <f t="shared" ref="U22" si="21">MIN(J23:J27)</f>
        <v>0.97707768487763191</v>
      </c>
    </row>
    <row r="23" spans="1:21">
      <c r="A23" s="5">
        <v>1</v>
      </c>
      <c r="B23" s="23">
        <v>0.86056666483183986</v>
      </c>
      <c r="C23" s="23">
        <v>0.99999607900124021</v>
      </c>
      <c r="D23" s="23">
        <v>0.86056666483183986</v>
      </c>
      <c r="E23" s="23">
        <v>0.99999607900124021</v>
      </c>
      <c r="F23" s="23">
        <v>0.99999607900124021</v>
      </c>
      <c r="G23" s="23">
        <v>0.99999607900124021</v>
      </c>
      <c r="H23" s="23">
        <v>0.99999607900124021</v>
      </c>
      <c r="I23" s="23">
        <v>0.99999607900124021</v>
      </c>
      <c r="J23" s="23">
        <v>0.99999607900124021</v>
      </c>
      <c r="M23" s="28">
        <v>0.84341115331802052</v>
      </c>
    </row>
    <row r="24" spans="1:21">
      <c r="A24" s="5">
        <v>2</v>
      </c>
      <c r="B24" s="23">
        <v>0.86384630697186371</v>
      </c>
      <c r="C24" s="23">
        <v>0.98460207726186</v>
      </c>
      <c r="D24" s="23">
        <v>0.87648673299134283</v>
      </c>
      <c r="E24" s="23">
        <v>0.99627491627367382</v>
      </c>
      <c r="F24" s="23">
        <v>0.99876069346295038</v>
      </c>
      <c r="G24" s="23">
        <v>0.99014801571149913</v>
      </c>
      <c r="H24" s="23">
        <v>0.99571730491754185</v>
      </c>
      <c r="I24" s="23">
        <v>0.99888214084858495</v>
      </c>
      <c r="J24" s="23">
        <v>0.99026153121162985</v>
      </c>
      <c r="M24" s="2"/>
    </row>
    <row r="25" spans="1:21">
      <c r="A25" s="5">
        <v>4</v>
      </c>
      <c r="B25" s="23">
        <v>0.8763056205270916</v>
      </c>
      <c r="C25" s="23">
        <v>0.97293602125594503</v>
      </c>
      <c r="D25" s="23">
        <v>0.86292982823062236</v>
      </c>
      <c r="E25" s="23">
        <v>0.98194971829630395</v>
      </c>
      <c r="F25" s="23">
        <v>0.98473191119068759</v>
      </c>
      <c r="G25" s="23">
        <v>0.98629363073996656</v>
      </c>
      <c r="H25" s="23">
        <v>0.9841727124611378</v>
      </c>
      <c r="I25" s="23">
        <v>0.9859512783388652</v>
      </c>
      <c r="J25" s="23">
        <v>0.98537269337942124</v>
      </c>
      <c r="M25" s="2"/>
    </row>
    <row r="26" spans="1:21">
      <c r="A26" s="5">
        <v>8</v>
      </c>
      <c r="B26" s="23">
        <v>0.84341115331802052</v>
      </c>
      <c r="C26" s="23">
        <v>0.98117638058257961</v>
      </c>
      <c r="D26" s="23">
        <v>0.85916901920382727</v>
      </c>
      <c r="E26" s="23">
        <v>0.98694541874667197</v>
      </c>
      <c r="F26" s="23">
        <v>0.98757290509194484</v>
      </c>
      <c r="G26" s="23">
        <v>0.98416092805465472</v>
      </c>
      <c r="H26" s="23">
        <v>0.9778193989841506</v>
      </c>
      <c r="I26" s="23">
        <v>0.98439331766464799</v>
      </c>
      <c r="J26" s="23">
        <v>0.98000166667572075</v>
      </c>
      <c r="M26" s="2"/>
    </row>
    <row r="27" spans="1:21">
      <c r="A27" s="5">
        <v>16</v>
      </c>
      <c r="B27" s="23">
        <v>0.84595943521688999</v>
      </c>
      <c r="C27" s="23">
        <v>0.97706895562544538</v>
      </c>
      <c r="D27" s="23">
        <v>0.90409179122249228</v>
      </c>
      <c r="E27" s="23">
        <v>0.9940444466449363</v>
      </c>
      <c r="F27" s="23">
        <v>0.99060436137312458</v>
      </c>
      <c r="G27" s="23">
        <v>0.99000819505207827</v>
      </c>
      <c r="H27" s="23">
        <v>0.97652634800916849</v>
      </c>
      <c r="I27" s="23">
        <v>0.98635985965421757</v>
      </c>
      <c r="J27" s="23">
        <v>0.97707768487763191</v>
      </c>
      <c r="M27" s="2"/>
    </row>
    <row r="28" spans="1:21">
      <c r="A28" s="4" t="s">
        <v>84</v>
      </c>
      <c r="B28" s="7"/>
      <c r="C28" s="7"/>
      <c r="D28" s="7"/>
      <c r="E28" s="7"/>
      <c r="F28" s="7"/>
      <c r="G28" s="7"/>
      <c r="H28" s="7"/>
      <c r="I28" s="7"/>
      <c r="J28" s="7"/>
      <c r="L28" s="26" t="str">
        <f>A28</f>
        <v>montage</v>
      </c>
      <c r="M28" s="2">
        <f>MIN(B29:B33)</f>
        <v>0.72069159881750855</v>
      </c>
      <c r="N28" s="2">
        <f>MIN(C29:C33)</f>
        <v>0.90495794408101382</v>
      </c>
      <c r="O28" s="2">
        <f t="shared" ref="O28" si="22">MIN(D29:D33)</f>
        <v>0.78549164421953233</v>
      </c>
      <c r="P28" s="2">
        <f t="shared" ref="P28" si="23">MIN(E29:E33)</f>
        <v>0.92975862925268693</v>
      </c>
      <c r="Q28" s="2">
        <f t="shared" ref="Q28" si="24">MIN(F29:F33)</f>
        <v>0.92644085323666359</v>
      </c>
      <c r="R28" s="2">
        <f t="shared" ref="R28" si="25">MIN(G29:G33)</f>
        <v>0.91641592055594745</v>
      </c>
      <c r="S28" s="2">
        <f t="shared" ref="S28" si="26">MIN(H29:H33)</f>
        <v>0.91176977547369653</v>
      </c>
      <c r="T28" s="2">
        <f t="shared" ref="T28" si="27">MIN(I29:I33)</f>
        <v>0.913994520633157</v>
      </c>
      <c r="U28" s="2">
        <f t="shared" ref="U28" si="28">MIN(J29:J33)</f>
        <v>0.90387711994062836</v>
      </c>
    </row>
    <row r="29" spans="1:21">
      <c r="A29" s="5">
        <v>1</v>
      </c>
      <c r="B29" s="23">
        <v>0.82704166100245868</v>
      </c>
      <c r="C29" s="23">
        <v>0.99982143095661857</v>
      </c>
      <c r="D29" s="23">
        <v>0.82704166100245868</v>
      </c>
      <c r="E29" s="23">
        <v>0.99982143095661857</v>
      </c>
      <c r="F29" s="23">
        <v>0.99982143095661857</v>
      </c>
      <c r="G29" s="23">
        <v>0.99982143095661857</v>
      </c>
      <c r="H29" s="23">
        <v>0.99982143095661857</v>
      </c>
      <c r="I29" s="23">
        <v>0.99982143095661857</v>
      </c>
      <c r="J29" s="23">
        <v>0.99982143095661857</v>
      </c>
      <c r="M29" s="28">
        <v>0.72069159881750855</v>
      </c>
    </row>
    <row r="30" spans="1:21">
      <c r="A30" s="5">
        <v>2</v>
      </c>
      <c r="B30" s="23">
        <v>0.8431818125645224</v>
      </c>
      <c r="C30" s="23">
        <v>0.94690342829603447</v>
      </c>
      <c r="D30" s="23">
        <v>0.83303491643656491</v>
      </c>
      <c r="E30" s="23">
        <v>0.96120110833096484</v>
      </c>
      <c r="F30" s="23">
        <v>0.967027227963562</v>
      </c>
      <c r="G30" s="23">
        <v>0.94950271711087142</v>
      </c>
      <c r="H30" s="23">
        <v>0.95236853088149376</v>
      </c>
      <c r="I30" s="23">
        <v>0.95765089072446274</v>
      </c>
      <c r="J30" s="23">
        <v>0.94940454294401144</v>
      </c>
      <c r="M30" s="2"/>
    </row>
    <row r="31" spans="1:21">
      <c r="A31" s="5">
        <v>4</v>
      </c>
      <c r="B31" s="23">
        <v>0.81029409323566404</v>
      </c>
      <c r="C31" s="23">
        <v>0.91277380077861636</v>
      </c>
      <c r="D31" s="23">
        <v>0.81490425721646897</v>
      </c>
      <c r="E31" s="23">
        <v>0.92975862925268693</v>
      </c>
      <c r="F31" s="23">
        <v>0.93404964319381267</v>
      </c>
      <c r="G31" s="23">
        <v>0.92314515547836506</v>
      </c>
      <c r="H31" s="23">
        <v>0.9138851605148941</v>
      </c>
      <c r="I31" s="23">
        <v>0.91934438650377615</v>
      </c>
      <c r="J31" s="23">
        <v>0.91473448202480767</v>
      </c>
      <c r="M31" s="2"/>
    </row>
    <row r="32" spans="1:21">
      <c r="A32" s="5">
        <v>8</v>
      </c>
      <c r="B32" s="23">
        <v>0.72784251243848674</v>
      </c>
      <c r="C32" s="23">
        <v>0.90495794408101382</v>
      </c>
      <c r="D32" s="23">
        <v>0.79945890242696349</v>
      </c>
      <c r="E32" s="23">
        <v>0.93091259162609608</v>
      </c>
      <c r="F32" s="23">
        <v>0.9321208034970776</v>
      </c>
      <c r="G32" s="23">
        <v>0.91641592055594745</v>
      </c>
      <c r="H32" s="23">
        <v>0.91176977547369653</v>
      </c>
      <c r="I32" s="23">
        <v>0.91735460382164757</v>
      </c>
      <c r="J32" s="23">
        <v>0.90387711994062836</v>
      </c>
      <c r="M32" s="2"/>
      <c r="N32" s="7"/>
    </row>
    <row r="33" spans="1:21">
      <c r="A33" s="5">
        <v>16</v>
      </c>
      <c r="B33" s="23">
        <v>0.72069159881750855</v>
      </c>
      <c r="C33" s="23">
        <v>0.91490993731071191</v>
      </c>
      <c r="D33" s="23">
        <v>0.78549164421953233</v>
      </c>
      <c r="E33" s="23">
        <v>0.93445710226783951</v>
      </c>
      <c r="F33" s="23">
        <v>0.92644085323666359</v>
      </c>
      <c r="G33" s="23">
        <v>0.91749264752803406</v>
      </c>
      <c r="H33" s="23">
        <v>0.91570354600000614</v>
      </c>
      <c r="I33" s="23">
        <v>0.913994520633157</v>
      </c>
      <c r="J33" s="23">
        <v>0.91017809333077393</v>
      </c>
      <c r="M33" s="2"/>
    </row>
    <row r="34" spans="1:21">
      <c r="A34" s="4" t="s">
        <v>85</v>
      </c>
      <c r="B34" s="7"/>
      <c r="C34" s="7"/>
      <c r="D34" s="7"/>
      <c r="E34" s="7"/>
      <c r="F34" s="7"/>
      <c r="G34" s="7"/>
      <c r="H34" s="7"/>
      <c r="I34" s="7"/>
      <c r="J34" s="7"/>
      <c r="L34" s="26" t="str">
        <f>A34</f>
        <v>soykb</v>
      </c>
      <c r="M34" s="2">
        <f>MIN(B35:B39)</f>
        <v>0.54032429768871393</v>
      </c>
      <c r="N34" s="2">
        <f>MIN(C35:C39)</f>
        <v>0.99996376358456007</v>
      </c>
      <c r="O34" s="2">
        <f t="shared" ref="O34" si="29">MIN(D35:D39)</f>
        <v>0.54032429768871393</v>
      </c>
      <c r="P34" s="2">
        <f t="shared" ref="P34" si="30">MIN(E35:E39)</f>
        <v>0.99996733438321694</v>
      </c>
      <c r="Q34" s="2">
        <f t="shared" ref="Q34" si="31">MIN(F35:F39)</f>
        <v>0.99996809394756392</v>
      </c>
      <c r="R34" s="2">
        <f t="shared" ref="R34" si="32">MIN(G35:G39)</f>
        <v>0.99996877566263265</v>
      </c>
      <c r="S34" s="2">
        <f t="shared" ref="S34" si="33">MIN(H35:H39)</f>
        <v>0.999966340650709</v>
      </c>
      <c r="T34" s="2">
        <f t="shared" ref="T34" si="34">MIN(I35:I39)</f>
        <v>0.99996488526149607</v>
      </c>
      <c r="U34" s="2">
        <f t="shared" ref="U34" si="35">MIN(J35:J39)</f>
        <v>0.99996376358456007</v>
      </c>
    </row>
    <row r="35" spans="1:21">
      <c r="A35" s="5">
        <v>1</v>
      </c>
      <c r="B35" s="23">
        <v>0.54032429768871393</v>
      </c>
      <c r="C35" s="23">
        <v>0.99999108593255592</v>
      </c>
      <c r="D35" s="23">
        <v>0.54032429768871393</v>
      </c>
      <c r="E35" s="23">
        <v>0.99999108593255592</v>
      </c>
      <c r="F35" s="23">
        <v>0.99999108593255592</v>
      </c>
      <c r="G35" s="23">
        <v>0.99999108593255592</v>
      </c>
      <c r="H35" s="23">
        <v>0.99999108593255592</v>
      </c>
      <c r="I35" s="23">
        <v>0.99999108593255592</v>
      </c>
      <c r="J35" s="23">
        <v>0.99999108593255592</v>
      </c>
      <c r="M35" s="28">
        <v>0.54032429768871393</v>
      </c>
    </row>
    <row r="36" spans="1:21">
      <c r="A36" s="5">
        <v>2</v>
      </c>
      <c r="B36" s="23">
        <v>0.61178407609582264</v>
      </c>
      <c r="C36" s="23">
        <v>0.99996633756333131</v>
      </c>
      <c r="D36" s="23">
        <v>0.59724678753185834</v>
      </c>
      <c r="E36" s="23">
        <v>0.99997276735287022</v>
      </c>
      <c r="F36" s="23">
        <v>0.99997368790484475</v>
      </c>
      <c r="G36" s="23">
        <v>0.99997084600605468</v>
      </c>
      <c r="H36" s="23">
        <v>0.99997126526427949</v>
      </c>
      <c r="I36" s="23">
        <v>0.99997278055133376</v>
      </c>
      <c r="J36" s="23">
        <v>0.99996924508565888</v>
      </c>
      <c r="M36" s="2"/>
    </row>
    <row r="37" spans="1:21">
      <c r="A37" s="5">
        <v>4</v>
      </c>
      <c r="B37" s="23">
        <v>0.69077858055160668</v>
      </c>
      <c r="C37" s="23">
        <v>0.99996955977760094</v>
      </c>
      <c r="D37" s="23">
        <v>0.68124127865025486</v>
      </c>
      <c r="E37" s="23">
        <v>0.99996733438321694</v>
      </c>
      <c r="F37" s="23">
        <v>0.99996809394756392</v>
      </c>
      <c r="G37" s="23">
        <v>0.99996877566263265</v>
      </c>
      <c r="H37" s="23">
        <v>0.99996752285511725</v>
      </c>
      <c r="I37" s="23">
        <v>0.99996749523178774</v>
      </c>
      <c r="J37" s="23">
        <v>0.99996955977760094</v>
      </c>
      <c r="M37" s="2"/>
    </row>
    <row r="38" spans="1:21">
      <c r="A38" s="5">
        <v>8</v>
      </c>
      <c r="B38" s="23">
        <v>0.76025826990171597</v>
      </c>
      <c r="C38" s="23">
        <v>0.99996376358456007</v>
      </c>
      <c r="D38" s="23">
        <v>0.75713241692125877</v>
      </c>
      <c r="E38" s="23">
        <v>0.99997027100696456</v>
      </c>
      <c r="F38" s="23">
        <v>0.99996904421528643</v>
      </c>
      <c r="G38" s="23">
        <v>0.99997034498081327</v>
      </c>
      <c r="H38" s="23">
        <v>0.999966340650709</v>
      </c>
      <c r="I38" s="23">
        <v>0.99996488526149607</v>
      </c>
      <c r="J38" s="23">
        <v>0.99996376358456007</v>
      </c>
      <c r="M38" s="2"/>
    </row>
    <row r="39" spans="1:21">
      <c r="A39" s="5">
        <v>16</v>
      </c>
      <c r="B39" s="23">
        <v>0.82947856873407755</v>
      </c>
      <c r="C39" s="23">
        <v>0.9999686974931532</v>
      </c>
      <c r="D39" s="23">
        <v>0.82525312772800086</v>
      </c>
      <c r="E39" s="23">
        <v>0.99997254478658804</v>
      </c>
      <c r="F39" s="23">
        <v>0.99997418075809297</v>
      </c>
      <c r="G39" s="23">
        <v>0.99997462795068748</v>
      </c>
      <c r="H39" s="23">
        <v>0.99997152494226316</v>
      </c>
      <c r="I39" s="23">
        <v>0.99997181918077294</v>
      </c>
      <c r="J39" s="23">
        <v>0.9999686974931532</v>
      </c>
      <c r="M39" s="2"/>
    </row>
    <row r="40" spans="1:21">
      <c r="A40" s="4" t="s">
        <v>86</v>
      </c>
      <c r="B40" s="23"/>
      <c r="C40" s="23"/>
      <c r="D40" s="23"/>
      <c r="E40" s="23"/>
      <c r="F40" s="23"/>
      <c r="G40" s="23"/>
      <c r="H40" s="23"/>
      <c r="I40" s="23"/>
      <c r="J40" s="23"/>
      <c r="L40" s="26" t="str">
        <f>A40</f>
        <v>1000genome</v>
      </c>
      <c r="M40" s="2">
        <f>MIN(B41:B45)</f>
        <v>0.43292814506986266</v>
      </c>
      <c r="N40" s="2">
        <f>MIN(C41:C45)</f>
        <v>0.99993932388908235</v>
      </c>
      <c r="O40" s="2">
        <f t="shared" ref="O40" si="36">MIN(D41:D45)</f>
        <v>0.42584167911974691</v>
      </c>
      <c r="P40" s="2">
        <f t="shared" ref="P40" si="37">MIN(E41:E45)</f>
        <v>0.99996695149928705</v>
      </c>
      <c r="Q40" s="2">
        <f t="shared" ref="Q40" si="38">MIN(F41:F45)</f>
        <v>0.999949068711393</v>
      </c>
      <c r="R40" s="2">
        <f t="shared" ref="R40" si="39">MIN(G41:G45)</f>
        <v>0.99988250214034968</v>
      </c>
      <c r="S40" s="2">
        <f t="shared" ref="S40" si="40">MIN(H41:H45)</f>
        <v>0.99997769215055454</v>
      </c>
      <c r="T40" s="2">
        <f t="shared" ref="T40" si="41">MIN(I41:I45)</f>
        <v>0.99996515109674244</v>
      </c>
      <c r="U40" s="2">
        <f t="shared" ref="U40" si="42">MIN(J41:J45)</f>
        <v>0.99993932388908235</v>
      </c>
    </row>
    <row r="41" spans="1:21">
      <c r="A41" s="5">
        <v>1</v>
      </c>
      <c r="B41" s="7">
        <v>0.43418257594600451</v>
      </c>
      <c r="C41" s="7">
        <v>0.99999861221106567</v>
      </c>
      <c r="D41" s="7">
        <v>0.43418257594600451</v>
      </c>
      <c r="E41" s="7">
        <v>0.99999861221106567</v>
      </c>
      <c r="F41" s="7">
        <v>0.99999861221106567</v>
      </c>
      <c r="G41" s="7">
        <v>0.99999861221106567</v>
      </c>
      <c r="H41" s="7">
        <v>0.99999861221106567</v>
      </c>
      <c r="I41" s="7">
        <v>0.99999861221106567</v>
      </c>
      <c r="J41" s="7">
        <v>0.99999861221106567</v>
      </c>
      <c r="M41" s="28">
        <v>0.43292814506986266</v>
      </c>
    </row>
    <row r="42" spans="1:21">
      <c r="A42" s="5">
        <v>2</v>
      </c>
      <c r="B42" s="7">
        <v>0.43292814506986266</v>
      </c>
      <c r="C42" s="7">
        <v>0.99998018374718622</v>
      </c>
      <c r="D42" s="7">
        <v>0.43407966011704868</v>
      </c>
      <c r="E42" s="7">
        <v>0.9999826972583179</v>
      </c>
      <c r="F42" s="7">
        <v>0.99998128313570678</v>
      </c>
      <c r="G42" s="7">
        <v>0.99998741435096905</v>
      </c>
      <c r="H42" s="7">
        <v>0.99998226108877508</v>
      </c>
      <c r="I42" s="7">
        <v>0.99998082397577426</v>
      </c>
      <c r="J42" s="7">
        <v>0.99998825514684886</v>
      </c>
      <c r="M42" s="7"/>
    </row>
    <row r="43" spans="1:21">
      <c r="A43" s="5">
        <v>4</v>
      </c>
      <c r="B43" s="7">
        <v>0.43307443449422883</v>
      </c>
      <c r="C43" s="7">
        <v>0.99997894662898101</v>
      </c>
      <c r="D43" s="7">
        <v>0.42909915347267907</v>
      </c>
      <c r="E43" s="7">
        <v>0.99998157700992629</v>
      </c>
      <c r="F43" s="7">
        <v>0.99997691524008581</v>
      </c>
      <c r="G43" s="7">
        <v>0.99997959239943401</v>
      </c>
      <c r="H43" s="7">
        <v>0.99998069359365882</v>
      </c>
      <c r="I43" s="7">
        <v>0.99997610896931532</v>
      </c>
      <c r="J43" s="7">
        <v>0.9999826178954685</v>
      </c>
    </row>
    <row r="44" spans="1:21">
      <c r="A44" s="5">
        <v>8</v>
      </c>
      <c r="B44" s="7">
        <v>0.45014471732350908</v>
      </c>
      <c r="C44" s="7">
        <v>0.99995170237579445</v>
      </c>
      <c r="D44" s="7">
        <v>0.42584167911974691</v>
      </c>
      <c r="E44" s="7">
        <v>0.99997610316991981</v>
      </c>
      <c r="F44" s="7">
        <v>0.99997011457812579</v>
      </c>
      <c r="G44" s="7">
        <v>0.99997111379940806</v>
      </c>
      <c r="H44" s="7">
        <v>0.99997769215055454</v>
      </c>
      <c r="I44" s="7">
        <v>0.99996981860547596</v>
      </c>
      <c r="J44" s="7">
        <v>0.99995170237579445</v>
      </c>
    </row>
    <row r="45" spans="1:21">
      <c r="A45" s="5">
        <v>16</v>
      </c>
      <c r="B45" s="7">
        <v>0.44071383515030577</v>
      </c>
      <c r="C45" s="7">
        <v>0.99993932388908235</v>
      </c>
      <c r="D45" s="7">
        <v>0.4414998873428414</v>
      </c>
      <c r="E45" s="7">
        <v>0.99996695149928705</v>
      </c>
      <c r="F45" s="7">
        <v>0.999949068711393</v>
      </c>
      <c r="G45" s="7">
        <v>0.99988250214034968</v>
      </c>
      <c r="H45" s="7">
        <v>0.99998279124749501</v>
      </c>
      <c r="I45" s="7">
        <v>0.99996515109674244</v>
      </c>
      <c r="J45" s="7">
        <v>0.99993932388908235</v>
      </c>
    </row>
    <row r="46" spans="1:21">
      <c r="A46" s="4" t="s">
        <v>87</v>
      </c>
      <c r="B46" s="7">
        <v>0.80283905532900224</v>
      </c>
      <c r="C46" s="7">
        <v>0.98779770131845013</v>
      </c>
      <c r="D46" s="7">
        <v>0.80985073932911877</v>
      </c>
      <c r="E46" s="7">
        <v>0.9912551157355699</v>
      </c>
      <c r="F46" s="7">
        <v>0.99146624020530483</v>
      </c>
      <c r="G46" s="7">
        <v>0.98962280925581225</v>
      </c>
      <c r="H46" s="7">
        <v>0.98872981772365065</v>
      </c>
      <c r="I46" s="7">
        <v>0.98980334024428085</v>
      </c>
      <c r="J46" s="7">
        <v>0.98824100341519172</v>
      </c>
    </row>
    <row r="47" spans="1:21">
      <c r="M47" s="7"/>
    </row>
    <row r="52" spans="13:14">
      <c r="M52" s="7"/>
    </row>
    <row r="58" spans="13:14">
      <c r="M58" s="7"/>
      <c r="N58" s="7"/>
    </row>
    <row r="63" spans="13:14">
      <c r="M63" s="7"/>
    </row>
    <row r="68" spans="13:13">
      <c r="M68" s="7"/>
    </row>
    <row r="73" spans="13:13">
      <c r="M73" s="7"/>
    </row>
    <row r="78" spans="13:13">
      <c r="M78" s="7"/>
    </row>
    <row r="84" spans="13:14">
      <c r="M84" s="7"/>
      <c r="N84" s="7"/>
    </row>
    <row r="89" spans="13:14">
      <c r="M89" s="7"/>
    </row>
    <row r="94" spans="13:14">
      <c r="M94" s="7"/>
    </row>
    <row r="99" spans="13:14">
      <c r="M99" s="7"/>
    </row>
    <row r="104" spans="13:14">
      <c r="M104" s="7"/>
    </row>
    <row r="110" spans="13:14">
      <c r="M110" s="7"/>
      <c r="N110" s="7"/>
    </row>
    <row r="115" spans="13:13">
      <c r="M115" s="7"/>
    </row>
    <row r="120" spans="13:13">
      <c r="M120" s="7"/>
    </row>
    <row r="125" spans="13:13">
      <c r="M125" s="7"/>
    </row>
    <row r="130" spans="13:14">
      <c r="M130" s="7"/>
    </row>
    <row r="136" spans="13:14">
      <c r="M136" s="7"/>
      <c r="N136" s="7"/>
    </row>
    <row r="141" spans="13:14">
      <c r="M141" s="7"/>
    </row>
    <row r="146" spans="13:13">
      <c r="M146" s="7"/>
    </row>
    <row r="151" spans="13:13">
      <c r="M151" s="7"/>
    </row>
    <row r="156" spans="13:13">
      <c r="M156" s="7"/>
    </row>
    <row r="162" spans="13:14">
      <c r="M162" s="7"/>
      <c r="N162" s="7"/>
    </row>
    <row r="167" spans="13:14">
      <c r="M167" s="7"/>
    </row>
    <row r="172" spans="13:14">
      <c r="M172" s="7"/>
    </row>
    <row r="177" spans="13:13">
      <c r="M177" s="7"/>
    </row>
    <row r="182" spans="13:13">
      <c r="M182" s="7"/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75B3-070C-4F00-A863-C8D18F86DD58}">
  <sheetPr>
    <pageSetUpPr fitToPage="1"/>
  </sheetPr>
  <dimension ref="A3:I38"/>
  <sheetViews>
    <sheetView workbookViewId="0">
      <selection activeCell="D43" sqref="D43"/>
    </sheetView>
  </sheetViews>
  <sheetFormatPr defaultColWidth="11.42578125" defaultRowHeight="15"/>
  <cols>
    <col min="1" max="1" width="17.5703125" bestFit="1" customWidth="1"/>
    <col min="2" max="2" width="7.85546875" bestFit="1" customWidth="1"/>
    <col min="3" max="3" width="10.140625" bestFit="1" customWidth="1"/>
    <col min="4" max="4" width="8.5703125" bestFit="1" customWidth="1"/>
    <col min="5" max="6" width="10.7109375" bestFit="1" customWidth="1"/>
    <col min="7" max="7" width="7.140625" bestFit="1" customWidth="1"/>
    <col min="8" max="9" width="13" bestFit="1" customWidth="1"/>
    <col min="10" max="10" width="11.7109375" bestFit="1" customWidth="1"/>
  </cols>
  <sheetData>
    <row r="3" spans="1:9">
      <c r="A3" s="3" t="s">
        <v>69</v>
      </c>
      <c r="B3" t="s">
        <v>72</v>
      </c>
      <c r="C3" t="s">
        <v>71</v>
      </c>
      <c r="D3" t="s">
        <v>73</v>
      </c>
      <c r="E3" t="s">
        <v>75</v>
      </c>
      <c r="F3" t="s">
        <v>74</v>
      </c>
      <c r="G3" t="s">
        <v>88</v>
      </c>
      <c r="H3" t="s">
        <v>78</v>
      </c>
      <c r="I3" t="s">
        <v>77</v>
      </c>
    </row>
    <row r="4" spans="1:9">
      <c r="A4" s="4" t="s">
        <v>86</v>
      </c>
      <c r="B4" s="7"/>
      <c r="C4" s="7"/>
      <c r="D4" s="7"/>
      <c r="E4" s="7"/>
      <c r="F4" s="7"/>
      <c r="G4" s="7"/>
      <c r="H4" s="7"/>
      <c r="I4" s="7"/>
    </row>
    <row r="5" spans="1:9">
      <c r="A5" s="5">
        <v>2</v>
      </c>
      <c r="B5" s="7">
        <v>2.728815577500523E-3</v>
      </c>
      <c r="C5" s="7">
        <v>0.37051446593666826</v>
      </c>
      <c r="D5" s="7">
        <v>0.37980868490604308</v>
      </c>
      <c r="E5" s="7">
        <v>0.37103660932875532</v>
      </c>
      <c r="F5" s="7">
        <v>0.39012541510494703</v>
      </c>
      <c r="G5" s="7">
        <v>0.38078840774146949</v>
      </c>
      <c r="H5" s="7">
        <v>0.3722910833515003</v>
      </c>
      <c r="I5" s="7">
        <v>0.39052277046784939</v>
      </c>
    </row>
    <row r="6" spans="1:9">
      <c r="A6" s="5">
        <v>4</v>
      </c>
      <c r="B6" s="7">
        <v>-1.199246743161951E-3</v>
      </c>
      <c r="C6" s="7">
        <v>0.37073011107553477</v>
      </c>
      <c r="D6" s="7">
        <v>0.37809211629785183</v>
      </c>
      <c r="E6" s="7">
        <v>0.36896499060209548</v>
      </c>
      <c r="F6" s="7">
        <v>0.39264659432181187</v>
      </c>
      <c r="G6" s="7">
        <v>0.37703354154104279</v>
      </c>
      <c r="H6" s="7">
        <v>0.37223106659923227</v>
      </c>
      <c r="I6" s="7">
        <v>0.39305202637718006</v>
      </c>
    </row>
    <row r="7" spans="1:9">
      <c r="A7" s="5">
        <v>8</v>
      </c>
      <c r="B7" s="7">
        <v>-2.7802564383087435E-2</v>
      </c>
      <c r="C7" s="7">
        <v>0.36571403352402804</v>
      </c>
      <c r="D7" s="7">
        <v>0.3701677457865834</v>
      </c>
      <c r="E7" s="7">
        <v>0.34093168446921174</v>
      </c>
      <c r="F7" s="7">
        <v>0.38786264442248841</v>
      </c>
      <c r="G7" s="7">
        <v>0.375462909429223</v>
      </c>
      <c r="H7" s="7">
        <v>0.36571403352402804</v>
      </c>
      <c r="I7" s="7">
        <v>0.40276838172163754</v>
      </c>
    </row>
    <row r="8" spans="1:9">
      <c r="A8" s="5">
        <v>16</v>
      </c>
      <c r="B8" s="7">
        <v>-2.5160075594861019E-2</v>
      </c>
      <c r="C8" s="7">
        <v>0.38800937998616747</v>
      </c>
      <c r="D8" s="7">
        <v>0.36799817368679333</v>
      </c>
      <c r="E8" s="7">
        <v>0.35093430286743893</v>
      </c>
      <c r="F8" s="7">
        <v>0.39340242673649789</v>
      </c>
      <c r="G8" s="7">
        <v>0.38830205689368286</v>
      </c>
      <c r="H8" s="7">
        <v>0.38800937998616747</v>
      </c>
      <c r="I8" s="7">
        <v>0.41127645453052719</v>
      </c>
    </row>
    <row r="9" spans="1:9">
      <c r="A9" s="4" t="s">
        <v>81</v>
      </c>
      <c r="B9" s="7"/>
      <c r="C9" s="7"/>
      <c r="D9" s="7"/>
      <c r="E9" s="7"/>
      <c r="F9" s="7"/>
      <c r="G9" s="7"/>
      <c r="H9" s="7"/>
      <c r="I9" s="7"/>
    </row>
    <row r="10" spans="1:9">
      <c r="A10" s="5">
        <v>2</v>
      </c>
      <c r="B10" s="7">
        <v>-4.5975685842250605E-3</v>
      </c>
      <c r="C10" s="7">
        <v>9.1348524821061178E-3</v>
      </c>
      <c r="D10" s="7">
        <v>5.915371086168934E-3</v>
      </c>
      <c r="E10" s="7">
        <v>9.5141393357909936E-3</v>
      </c>
      <c r="F10" s="7">
        <v>1.1343565133012219E-2</v>
      </c>
      <c r="G10" s="7">
        <v>9.4934898500337282E-3</v>
      </c>
      <c r="H10" s="7">
        <v>9.7375001138549234E-3</v>
      </c>
      <c r="I10" s="7">
        <v>1.2714094279776947E-2</v>
      </c>
    </row>
    <row r="11" spans="1:9">
      <c r="A11" s="5">
        <v>4</v>
      </c>
      <c r="B11" s="7">
        <v>-2.9586941180222676E-2</v>
      </c>
      <c r="C11" s="7">
        <v>8.3127298494377281E-3</v>
      </c>
      <c r="D11" s="7">
        <v>-1.9697397566850086E-2</v>
      </c>
      <c r="E11" s="7">
        <v>-8.904763972589453E-3</v>
      </c>
      <c r="F11" s="7">
        <v>-6.0046221373041709E-3</v>
      </c>
      <c r="G11" s="7">
        <v>1.0710131572662714E-2</v>
      </c>
      <c r="H11" s="7">
        <v>8.5066947583226048E-3</v>
      </c>
      <c r="I11" s="7">
        <v>1.3498893923661694E-2</v>
      </c>
    </row>
    <row r="12" spans="1:9">
      <c r="A12" s="5">
        <v>8</v>
      </c>
      <c r="B12" s="7">
        <v>-7.389158737058546E-2</v>
      </c>
      <c r="C12" s="7">
        <v>7.8748604811727987E-3</v>
      </c>
      <c r="D12" s="7">
        <v>-6.8641686400293389E-2</v>
      </c>
      <c r="E12" s="7">
        <v>-5.8635424337818688E-2</v>
      </c>
      <c r="F12" s="7">
        <v>-2.4543519220927804E-2</v>
      </c>
      <c r="G12" s="7">
        <v>1.4700695242317707E-2</v>
      </c>
      <c r="H12" s="7">
        <v>7.9559162794527929E-3</v>
      </c>
      <c r="I12" s="7">
        <v>2.1822184175379511E-2</v>
      </c>
    </row>
    <row r="13" spans="1:9">
      <c r="A13" s="5">
        <v>16</v>
      </c>
      <c r="B13" s="7">
        <v>-0.16665912689515822</v>
      </c>
      <c r="C13" s="7">
        <v>7.2216239619167337E-3</v>
      </c>
      <c r="D13" s="7">
        <v>-0.15844544580226474</v>
      </c>
      <c r="E13" s="7">
        <v>-0.14215009826305816</v>
      </c>
      <c r="F13" s="7">
        <v>-9.5520549742037122E-2</v>
      </c>
      <c r="G13" s="7">
        <v>7.2337357307076678E-3</v>
      </c>
      <c r="H13" s="7">
        <v>7.2216239619166834E-3</v>
      </c>
      <c r="I13" s="7">
        <v>1.2831739320688967E-2</v>
      </c>
    </row>
    <row r="14" spans="1:9">
      <c r="A14" s="4" t="s">
        <v>82</v>
      </c>
      <c r="B14" s="7"/>
      <c r="C14" s="7"/>
      <c r="D14" s="7"/>
      <c r="E14" s="7"/>
      <c r="F14" s="7"/>
      <c r="G14" s="7"/>
      <c r="H14" s="7"/>
      <c r="I14" s="7"/>
    </row>
    <row r="15" spans="1:9">
      <c r="A15" s="5">
        <v>2</v>
      </c>
      <c r="B15" s="7">
        <v>2.9340345259452821E-2</v>
      </c>
      <c r="C15" s="7">
        <v>5.9333176351917503E-2</v>
      </c>
      <c r="D15" s="7">
        <v>7.2880593446415745E-2</v>
      </c>
      <c r="E15" s="7">
        <v>3.6698090406643034E-2</v>
      </c>
      <c r="F15" s="7">
        <v>7.7654982597986394E-2</v>
      </c>
      <c r="G15" s="7">
        <v>7.2193463770262187E-2</v>
      </c>
      <c r="H15" s="7">
        <v>6.2521848989477727E-2</v>
      </c>
      <c r="I15" s="7">
        <v>7.775533737532897E-2</v>
      </c>
    </row>
    <row r="16" spans="1:9">
      <c r="A16" s="5">
        <v>4</v>
      </c>
      <c r="B16" s="7">
        <v>5.1370359719366189E-2</v>
      </c>
      <c r="C16" s="7">
        <v>7.329982744516339E-2</v>
      </c>
      <c r="D16" s="7">
        <v>9.7975768249795134E-2</v>
      </c>
      <c r="E16" s="7">
        <v>-3.8180948353157246E-2</v>
      </c>
      <c r="F16" s="7">
        <v>0.11104984362135228</v>
      </c>
      <c r="G16" s="7">
        <v>9.4657225883055168E-2</v>
      </c>
      <c r="H16" s="7">
        <v>7.4229043514231652E-2</v>
      </c>
      <c r="I16" s="7">
        <v>0.11127681821445445</v>
      </c>
    </row>
    <row r="17" spans="1:9">
      <c r="A17" s="5">
        <v>8</v>
      </c>
      <c r="B17" s="7">
        <v>5.2762827169227394E-2</v>
      </c>
      <c r="C17" s="7">
        <v>9.1376130508936559E-2</v>
      </c>
      <c r="D17" s="7">
        <v>0.11884604775391104</v>
      </c>
      <c r="E17" s="7">
        <v>-0.18519308608931684</v>
      </c>
      <c r="F17" s="7">
        <v>0.15105723604135499</v>
      </c>
      <c r="G17" s="7">
        <v>0.11592514996118397</v>
      </c>
      <c r="H17" s="7">
        <v>9.1376130508936559E-2</v>
      </c>
      <c r="I17" s="7">
        <v>0.15277760933189993</v>
      </c>
    </row>
    <row r="18" spans="1:9">
      <c r="A18" s="5">
        <v>16</v>
      </c>
      <c r="B18" s="7">
        <v>4.0697089440789161E-2</v>
      </c>
      <c r="C18" s="7">
        <v>0.14022840175644283</v>
      </c>
      <c r="D18" s="7">
        <v>0.14425244994528244</v>
      </c>
      <c r="E18" s="7">
        <v>-0.23090483177330096</v>
      </c>
      <c r="F18" s="7">
        <v>0.20566627841508711</v>
      </c>
      <c r="G18" s="7">
        <v>0.15075574579928275</v>
      </c>
      <c r="H18" s="7">
        <v>0.14022840175644283</v>
      </c>
      <c r="I18" s="7">
        <v>0.2074782315250637</v>
      </c>
    </row>
    <row r="19" spans="1:9">
      <c r="A19" s="4" t="s">
        <v>84</v>
      </c>
      <c r="B19" s="7"/>
      <c r="C19" s="7"/>
      <c r="D19" s="7"/>
      <c r="E19" s="7"/>
      <c r="F19" s="7"/>
      <c r="G19" s="7"/>
      <c r="H19" s="7"/>
      <c r="I19" s="7"/>
    </row>
    <row r="20" spans="1:9">
      <c r="A20" s="5">
        <v>2</v>
      </c>
      <c r="B20" s="7">
        <v>-5.3303438848541322E-3</v>
      </c>
      <c r="C20" s="7">
        <v>1.5542256603851464E-2</v>
      </c>
      <c r="D20" s="7">
        <v>3.8980853170744102E-2</v>
      </c>
      <c r="E20" s="7">
        <v>2.2255315036863451E-2</v>
      </c>
      <c r="F20" s="7">
        <v>4.8586951987913907E-2</v>
      </c>
      <c r="G20" s="7">
        <v>2.9328168870573223E-2</v>
      </c>
      <c r="H20" s="7">
        <v>2.2566881100860144E-2</v>
      </c>
      <c r="I20" s="7">
        <v>3.8450871135166237E-2</v>
      </c>
    </row>
    <row r="21" spans="1:9">
      <c r="A21" s="5">
        <v>4</v>
      </c>
      <c r="B21" s="7">
        <v>2.3250802787194314E-3</v>
      </c>
      <c r="C21" s="7">
        <v>1.8862562661772525E-2</v>
      </c>
      <c r="D21" s="7">
        <v>4.9687085791333907E-2</v>
      </c>
      <c r="E21" s="7">
        <v>2.8579264619635569E-2</v>
      </c>
      <c r="F21" s="7">
        <v>6.3617334561047054E-2</v>
      </c>
      <c r="G21" s="7">
        <v>3.3428135620762134E-2</v>
      </c>
      <c r="H21" s="7">
        <v>2.3039466653383602E-2</v>
      </c>
      <c r="I21" s="7">
        <v>4.8402001731062183E-2</v>
      </c>
    </row>
    <row r="22" spans="1:9">
      <c r="A22" s="5">
        <v>8</v>
      </c>
      <c r="B22" s="7">
        <v>6.9695991559201892E-2</v>
      </c>
      <c r="C22" s="7">
        <v>0.11289534122127207</v>
      </c>
      <c r="D22" s="7">
        <v>0.13332940706201873</v>
      </c>
      <c r="E22" s="7">
        <v>0.10332789297914158</v>
      </c>
      <c r="F22" s="7">
        <v>0.16228384441395621</v>
      </c>
      <c r="G22" s="7">
        <v>0.13362413984048896</v>
      </c>
      <c r="H22" s="7">
        <v>0.11198206000975641</v>
      </c>
      <c r="I22" s="7">
        <v>0.14859007620160825</v>
      </c>
    </row>
    <row r="23" spans="1:9">
      <c r="A23" s="5">
        <v>16</v>
      </c>
      <c r="B23" s="7">
        <v>4.0064345448358546E-2</v>
      </c>
      <c r="C23" s="7">
        <v>0.13292329209304471</v>
      </c>
      <c r="D23" s="7">
        <v>0.11968890573588885</v>
      </c>
      <c r="E23" s="7">
        <v>0.10771551717315966</v>
      </c>
      <c r="F23" s="7">
        <v>0.16751540444462446</v>
      </c>
      <c r="G23" s="7">
        <v>0.15103385516442247</v>
      </c>
      <c r="H23" s="7">
        <v>0.13192589576385683</v>
      </c>
      <c r="I23" s="7">
        <v>0.16374199963254579</v>
      </c>
    </row>
    <row r="24" spans="1:9">
      <c r="A24" s="4" t="s">
        <v>80</v>
      </c>
      <c r="B24" s="7"/>
      <c r="C24" s="7"/>
      <c r="D24" s="7"/>
      <c r="E24" s="7"/>
      <c r="F24" s="7"/>
      <c r="G24" s="7"/>
      <c r="H24" s="7"/>
      <c r="I24" s="7"/>
    </row>
    <row r="25" spans="1:9">
      <c r="A25" s="5">
        <v>2</v>
      </c>
      <c r="B25" s="7">
        <v>1.5426840331257542E-4</v>
      </c>
      <c r="C25" s="7">
        <v>7.5915335687331837E-4</v>
      </c>
      <c r="D25" s="7">
        <v>9.1315952412987533E-4</v>
      </c>
      <c r="E25" s="7">
        <v>8.4272900083224266E-4</v>
      </c>
      <c r="F25" s="7">
        <v>1.0725804234426207E-3</v>
      </c>
      <c r="G25" s="7">
        <v>9.0384495700174814E-4</v>
      </c>
      <c r="H25" s="7">
        <v>8.4524471469274421E-4</v>
      </c>
      <c r="I25" s="7">
        <v>1.0941029450904126E-3</v>
      </c>
    </row>
    <row r="26" spans="1:9">
      <c r="A26" s="5">
        <v>4</v>
      </c>
      <c r="B26" s="7">
        <v>-4.5368767172218483E-5</v>
      </c>
      <c r="C26" s="7">
        <v>7.030531658644818E-4</v>
      </c>
      <c r="D26" s="7">
        <v>5.5566562132531661E-4</v>
      </c>
      <c r="E26" s="7">
        <v>1.4483383342511806E-4</v>
      </c>
      <c r="F26" s="7">
        <v>1.2115700793106487E-3</v>
      </c>
      <c r="G26" s="7">
        <v>9.340479021143894E-4</v>
      </c>
      <c r="H26" s="7">
        <v>9.0988797158895844E-4</v>
      </c>
      <c r="I26" s="7">
        <v>1.2651458574703088E-3</v>
      </c>
    </row>
    <row r="27" spans="1:9">
      <c r="A27" s="5">
        <v>8</v>
      </c>
      <c r="B27" s="7">
        <v>9.2476661480978223E-4</v>
      </c>
      <c r="C27" s="7">
        <v>1.0464486486960508E-3</v>
      </c>
      <c r="D27" s="7">
        <v>1.8606382160594943E-3</v>
      </c>
      <c r="E27" s="7">
        <v>-1.0803829310305654E-2</v>
      </c>
      <c r="F27" s="7">
        <v>3.6723448500244893E-3</v>
      </c>
      <c r="G27" s="7">
        <v>1.9941327577576743E-3</v>
      </c>
      <c r="H27" s="7">
        <v>1.1863226046841017E-3</v>
      </c>
      <c r="I27" s="7">
        <v>3.878691846674844E-3</v>
      </c>
    </row>
    <row r="28" spans="1:9">
      <c r="A28" s="5">
        <v>16</v>
      </c>
      <c r="B28" s="7">
        <v>-7.9216875098241605E-3</v>
      </c>
      <c r="C28" s="7">
        <v>1.3903316807197556E-3</v>
      </c>
      <c r="D28" s="7">
        <v>-3.5510122395368783E-3</v>
      </c>
      <c r="E28" s="7">
        <v>-3.4187605402524454E-2</v>
      </c>
      <c r="F28" s="7">
        <v>2.845584525106921E-3</v>
      </c>
      <c r="G28" s="7">
        <v>1.4174561907248466E-3</v>
      </c>
      <c r="H28" s="7">
        <v>1.3903316807197556E-3</v>
      </c>
      <c r="I28" s="7">
        <v>5.3324611128408037E-3</v>
      </c>
    </row>
    <row r="29" spans="1:9">
      <c r="A29" s="4" t="s">
        <v>85</v>
      </c>
      <c r="B29" s="7"/>
      <c r="C29" s="7"/>
      <c r="D29" s="7"/>
      <c r="E29" s="7"/>
      <c r="F29" s="7"/>
      <c r="G29" s="7"/>
      <c r="H29" s="7"/>
      <c r="I29" s="7"/>
    </row>
    <row r="30" spans="1:9">
      <c r="A30" s="5">
        <v>2</v>
      </c>
      <c r="B30" s="7">
        <v>-2.4666258215923977E-2</v>
      </c>
      <c r="C30" s="7">
        <v>0.22275480141546589</v>
      </c>
      <c r="D30" s="7">
        <v>0.23290726870732065</v>
      </c>
      <c r="E30" s="7">
        <v>0.22045585762609138</v>
      </c>
      <c r="F30" s="7">
        <v>0.24826288372484473</v>
      </c>
      <c r="G30" s="7">
        <v>0.23587132905696789</v>
      </c>
      <c r="H30" s="7">
        <v>0.22559900569058156</v>
      </c>
      <c r="I30" s="7">
        <v>0.24797524069766336</v>
      </c>
    </row>
    <row r="31" spans="1:9">
      <c r="A31" s="5">
        <v>4</v>
      </c>
      <c r="B31" s="7">
        <v>-1.4053750945987343E-2</v>
      </c>
      <c r="C31" s="7">
        <v>0.18710927147906181</v>
      </c>
      <c r="D31" s="7">
        <v>0.19014104245764538</v>
      </c>
      <c r="E31" s="7">
        <v>0.17335517569350861</v>
      </c>
      <c r="F31" s="7">
        <v>0.20001776689486719</v>
      </c>
      <c r="G31" s="7">
        <v>0.19257276128866685</v>
      </c>
      <c r="H31" s="7">
        <v>0.18710927147906181</v>
      </c>
      <c r="I31" s="7">
        <v>0.1987171552696998</v>
      </c>
    </row>
    <row r="32" spans="1:9">
      <c r="A32" s="5">
        <v>8</v>
      </c>
      <c r="B32" s="7">
        <v>-3.0461282561497901E-3</v>
      </c>
      <c r="C32" s="7">
        <v>0.15785950559360259</v>
      </c>
      <c r="D32" s="7">
        <v>0.1560940282321765</v>
      </c>
      <c r="E32" s="7">
        <v>0.1400510396464443</v>
      </c>
      <c r="F32" s="7">
        <v>0.16571613542418834</v>
      </c>
      <c r="G32" s="7">
        <v>0.1597922575388834</v>
      </c>
      <c r="H32" s="7">
        <v>0.15785950559360257</v>
      </c>
      <c r="I32" s="7">
        <v>0.16657433510537425</v>
      </c>
    </row>
    <row r="33" spans="1:9">
      <c r="A33" s="5">
        <v>16</v>
      </c>
      <c r="B33" s="7">
        <v>-9.6158958291740499E-3</v>
      </c>
      <c r="C33" s="7">
        <v>0.11200854578387978</v>
      </c>
      <c r="D33" s="7">
        <v>0.11243996450691139</v>
      </c>
      <c r="E33" s="7">
        <v>8.9818810274860855E-2</v>
      </c>
      <c r="F33" s="7">
        <v>0.12360686751589854</v>
      </c>
      <c r="G33" s="7">
        <v>0.11476999512518751</v>
      </c>
      <c r="H33" s="7">
        <v>0.11200854578387975</v>
      </c>
      <c r="I33" s="7">
        <v>0.12293864050838972</v>
      </c>
    </row>
    <row r="34" spans="1:9">
      <c r="A34" s="4" t="s">
        <v>83</v>
      </c>
      <c r="B34" s="7"/>
      <c r="C34" s="7"/>
      <c r="D34" s="7"/>
      <c r="E34" s="7"/>
      <c r="F34" s="7"/>
      <c r="G34" s="7"/>
      <c r="H34" s="7"/>
      <c r="I34" s="7"/>
    </row>
    <row r="35" spans="1:9">
      <c r="A35" s="5">
        <v>2</v>
      </c>
      <c r="B35" s="7">
        <v>1.561479038162677E-2</v>
      </c>
      <c r="C35" s="7">
        <v>4.9410923207513682E-2</v>
      </c>
      <c r="D35" s="7">
        <v>7.1290460267071198E-2</v>
      </c>
      <c r="E35" s="7">
        <v>5.9463946188893696E-2</v>
      </c>
      <c r="F35" s="7">
        <v>7.7836960256309734E-2</v>
      </c>
      <c r="G35" s="7">
        <v>7.0606292415615363E-2</v>
      </c>
      <c r="H35" s="7">
        <v>5.9705050320473178E-2</v>
      </c>
      <c r="I35" s="7">
        <v>7.783646727743572E-2</v>
      </c>
    </row>
    <row r="36" spans="1:9">
      <c r="A36" s="5">
        <v>4</v>
      </c>
      <c r="B36" s="7">
        <v>-2.3056917960957947E-3</v>
      </c>
      <c r="C36" s="7">
        <v>3.8187599681167431E-2</v>
      </c>
      <c r="D36" s="7">
        <v>5.1524032575321295E-2</v>
      </c>
      <c r="E36" s="7">
        <v>4.9831064361545316E-2</v>
      </c>
      <c r="F36" s="7">
        <v>6.4424762943176575E-2</v>
      </c>
      <c r="G36" s="7">
        <v>5.3127907653227918E-2</v>
      </c>
      <c r="H36" s="7">
        <v>5.1886590152970008E-2</v>
      </c>
      <c r="I36" s="7">
        <v>6.5544232232381788E-2</v>
      </c>
    </row>
    <row r="37" spans="1:9">
      <c r="A37" s="5">
        <v>8</v>
      </c>
      <c r="B37" s="7">
        <v>-9.935591119085551E-4</v>
      </c>
      <c r="C37" s="7">
        <v>6.8622964276142756E-2</v>
      </c>
      <c r="D37" s="7">
        <v>6.4329320160745829E-2</v>
      </c>
      <c r="E37" s="7">
        <v>7.0327025311645294E-2</v>
      </c>
      <c r="F37" s="7">
        <v>0.10624704280817089</v>
      </c>
      <c r="G37" s="7">
        <v>7.2269109624708949E-2</v>
      </c>
      <c r="H37" s="7">
        <v>9.2916246914446152E-2</v>
      </c>
      <c r="I37" s="7">
        <v>0.10824665506836743</v>
      </c>
    </row>
    <row r="38" spans="1:9">
      <c r="A38" s="5">
        <v>16</v>
      </c>
      <c r="B38" s="7">
        <v>2.6489618383632473E-2</v>
      </c>
      <c r="C38" s="7">
        <v>9.8581219485128685E-2</v>
      </c>
      <c r="D38" s="7">
        <v>6.9806102655972493E-2</v>
      </c>
      <c r="E38" s="7">
        <v>7.4865710854443601E-2</v>
      </c>
      <c r="F38" s="7">
        <v>0.11227238457803265</v>
      </c>
      <c r="G38" s="7">
        <v>0.10107833619587893</v>
      </c>
      <c r="H38" s="7">
        <v>9.8684131438084938E-2</v>
      </c>
      <c r="I38" s="7">
        <v>0.118458123536982</v>
      </c>
    </row>
  </sheetData>
  <conditionalFormatting sqref="B3:I38">
    <cfRule type="cellIs" dxfId="0" priority="1" operator="greaterThan">
      <formula>0</formula>
    </cfRule>
  </conditionalFormatting>
  <pageMargins left="0" right="0" top="0" bottom="0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Barredo</dc:creator>
  <cp:keywords/>
  <dc:description/>
  <cp:lastModifiedBy>Pablo Barredo Gil</cp:lastModifiedBy>
  <cp:revision/>
  <dcterms:created xsi:type="dcterms:W3CDTF">2015-06-05T18:19:34Z</dcterms:created>
  <dcterms:modified xsi:type="dcterms:W3CDTF">2023-03-16T19:10:15Z</dcterms:modified>
  <cp:category/>
  <cp:contentStatus/>
</cp:coreProperties>
</file>